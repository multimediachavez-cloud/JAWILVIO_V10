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" sheetId="1" r:id="rId4"/>
    <sheet state="visible" name="SOCIOS" sheetId="2" r:id="rId5"/>
    <sheet state="visible" name="1" sheetId="3" r:id="rId6"/>
    <sheet state="visible" name="2" sheetId="4" r:id="rId7"/>
    <sheet state="visible" name="3" sheetId="5" r:id="rId8"/>
    <sheet state="visible" name="4" sheetId="6" r:id="rId9"/>
    <sheet state="visible" name="5" sheetId="7" r:id="rId10"/>
    <sheet state="visible" name="6" sheetId="8" r:id="rId11"/>
    <sheet state="visible" name="7" sheetId="9" r:id="rId12"/>
    <sheet state="visible" name="8" sheetId="10" r:id="rId13"/>
    <sheet state="visible" name="9" sheetId="11" r:id="rId14"/>
    <sheet state="visible" name="10" sheetId="12" r:id="rId15"/>
    <sheet state="visible" name="11" sheetId="13" r:id="rId16"/>
    <sheet state="visible" name="12" sheetId="14" r:id="rId17"/>
    <sheet state="visible" name="13" sheetId="15" r:id="rId18"/>
    <sheet state="visible" name="14" sheetId="16" r:id="rId19"/>
    <sheet state="visible" name="15" sheetId="17" r:id="rId20"/>
    <sheet state="visible" name="16" sheetId="18" r:id="rId21"/>
    <sheet state="visible" name="17" sheetId="19" r:id="rId22"/>
    <sheet state="visible" name="18" sheetId="20" r:id="rId23"/>
    <sheet state="visible" name="19" sheetId="21" r:id="rId24"/>
    <sheet state="visible" name="20" sheetId="22" r:id="rId25"/>
    <sheet state="visible" name="21" sheetId="23" r:id="rId26"/>
    <sheet state="visible" name="22" sheetId="24" r:id="rId27"/>
    <sheet state="visible" name="23" sheetId="25" r:id="rId28"/>
    <sheet state="visible" name="24" sheetId="26" r:id="rId29"/>
    <sheet state="visible" name="25" sheetId="27" r:id="rId30"/>
    <sheet state="visible" name="26" sheetId="28" r:id="rId31"/>
    <sheet state="visible" name="27" sheetId="29" r:id="rId32"/>
    <sheet state="visible" name="28" sheetId="30" r:id="rId33"/>
    <sheet state="visible" name="29" sheetId="31" r:id="rId34"/>
    <sheet state="visible" name="30" sheetId="32" r:id="rId35"/>
  </sheets>
  <definedNames/>
  <calcPr/>
  <extLst>
    <ext uri="GoogleSheetsCustomDataVersion2">
      <go:sheetsCustomData xmlns:go="http://customooxmlschemas.google.com/" r:id="rId36" roundtripDataChecksum="JbgCdlM5rPCxSpJ+GBEqPoLGGyCG9S4mz9fLStMVz3Y="/>
    </ext>
  </extLst>
</workbook>
</file>

<file path=xl/sharedStrings.xml><?xml version="1.0" encoding="utf-8"?>
<sst xmlns="http://schemas.openxmlformats.org/spreadsheetml/2006/main" count="1037" uniqueCount="383">
  <si>
    <t>BALANCE AL MES DE FEBRERO DE 2026</t>
  </si>
  <si>
    <t>N°</t>
  </si>
  <si>
    <t>APELLIDOS Y NOMBRES</t>
  </si>
  <si>
    <t>MESES</t>
  </si>
  <si>
    <t>FECHA DE PRÉSTAMO</t>
  </si>
  <si>
    <t>PRÉSTAMO ACUMULADO</t>
  </si>
  <si>
    <t>INTERES MENSUAL ACTUAL</t>
  </si>
  <si>
    <t>INTERES PARCIAL ACUMULADO</t>
  </si>
  <si>
    <t>INTERES PROYECTADO ACUMULADO</t>
  </si>
  <si>
    <t>SALDO ACTUAL</t>
  </si>
  <si>
    <t>ALIAGA ARAUJO, Angel F.</t>
  </si>
  <si>
    <t>84 MESES</t>
  </si>
  <si>
    <t>S/43,427.8</t>
  </si>
  <si>
    <t>S/209.6</t>
  </si>
  <si>
    <t>S/10,310.8</t>
  </si>
  <si>
    <t>S/17,542.6</t>
  </si>
  <si>
    <t>S/20,663.6</t>
  </si>
  <si>
    <t>ALVAREZ DIAZ, Rene</t>
  </si>
  <si>
    <t>60 MESES</t>
  </si>
  <si>
    <t>S/29,153.1</t>
  </si>
  <si>
    <t>-</t>
  </si>
  <si>
    <t>S/8,520.1</t>
  </si>
  <si>
    <t>S/8,891.5</t>
  </si>
  <si>
    <t>ARAUJO SANCHEZ, Magda M.</t>
  </si>
  <si>
    <t>S/59,233.2</t>
  </si>
  <si>
    <t>S/391.5</t>
  </si>
  <si>
    <t>S/15,699.6</t>
  </si>
  <si>
    <t>S/30,380.2</t>
  </si>
  <si>
    <t>S/38,632.4</t>
  </si>
  <si>
    <t>BARRANTES ROJAS, Luis E.</t>
  </si>
  <si>
    <t>72 MESES</t>
  </si>
  <si>
    <t>S/44,154.4</t>
  </si>
  <si>
    <t>S/239.2</t>
  </si>
  <si>
    <t>S/11,571.9</t>
  </si>
  <si>
    <t>S/16,115.8</t>
  </si>
  <si>
    <t>S/23,302.2</t>
  </si>
  <si>
    <t>BAZAN VASQUEZ, Mirtha L.</t>
  </si>
  <si>
    <t>S/42,148.5</t>
  </si>
  <si>
    <t>S/285.9</t>
  </si>
  <si>
    <t>S/5,773.0</t>
  </si>
  <si>
    <t>S/13,493.8</t>
  </si>
  <si>
    <t>S/28,073.8</t>
  </si>
  <si>
    <t>CABANILLAS YZQUIERDO, Jorge Luis</t>
  </si>
  <si>
    <t>S/41,477.1</t>
  </si>
  <si>
    <t>S/320.3</t>
  </si>
  <si>
    <t>S/7,682.0</t>
  </si>
  <si>
    <t>S/19,691.6</t>
  </si>
  <si>
    <t>S/31,608.4</t>
  </si>
  <si>
    <t>CHAVEZ ALVAREZ, Jorge A.</t>
  </si>
  <si>
    <t>S/34,118.8</t>
  </si>
  <si>
    <t>S/235.8</t>
  </si>
  <si>
    <t>S/8,404.7</t>
  </si>
  <si>
    <t>S/17,484.8</t>
  </si>
  <si>
    <t>S/23,279.7</t>
  </si>
  <si>
    <t>CHAVEZ ALVAREZ, Luis F.</t>
  </si>
  <si>
    <t>S/37,389.2</t>
  </si>
  <si>
    <t>S/141.4</t>
  </si>
  <si>
    <t>S/4,501.7</t>
  </si>
  <si>
    <t>S/13,311.1</t>
  </si>
  <si>
    <t>S/28,883.6</t>
  </si>
  <si>
    <t>CHAVEZ CHAVEZ, Jorge E.</t>
  </si>
  <si>
    <t>S/56,293.4</t>
  </si>
  <si>
    <t>S/422.8</t>
  </si>
  <si>
    <t>S/11,727.5</t>
  </si>
  <si>
    <t>S/27,794.2</t>
  </si>
  <si>
    <t>S/41,731.6</t>
  </si>
  <si>
    <t>CHAVEZ CHAVEZ, Pedro</t>
  </si>
  <si>
    <t>36 MESES</t>
  </si>
  <si>
    <t>S/30,907.5</t>
  </si>
  <si>
    <t>S/187.9</t>
  </si>
  <si>
    <t>S/4,070.0</t>
  </si>
  <si>
    <t>S/7,076.8</t>
  </si>
  <si>
    <t>S/18,223.3</t>
  </si>
  <si>
    <t>CHAVEZ MARIN Edwin F.</t>
  </si>
  <si>
    <t>S/63,280.7</t>
  </si>
  <si>
    <t>S/502.3</t>
  </si>
  <si>
    <t>S/10,990.1</t>
  </si>
  <si>
    <t>S/30,832.2</t>
  </si>
  <si>
    <t>S/49,604.6</t>
  </si>
  <si>
    <t>12*</t>
  </si>
  <si>
    <t>CHAVEZ QUEVEDO, Melba G.</t>
  </si>
  <si>
    <t>12 MESES</t>
  </si>
  <si>
    <t>S/53,453.9</t>
  </si>
  <si>
    <t>S/257.4</t>
  </si>
  <si>
    <t>S/4,447.4</t>
  </si>
  <si>
    <t>S/5,863.4</t>
  </si>
  <si>
    <t>S/23,595.4</t>
  </si>
  <si>
    <t>CHAVEZ SALAZAR, María E.</t>
  </si>
  <si>
    <t>S/34,457.0</t>
  </si>
  <si>
    <t>S/210.9</t>
  </si>
  <si>
    <t>S/7,612.5</t>
  </si>
  <si>
    <t>S/15,203.7</t>
  </si>
  <si>
    <t>S/20,799.2</t>
  </si>
  <si>
    <t>DIAZ ALBARRAN, Carlos F.</t>
  </si>
  <si>
    <t>S/33,883.7</t>
  </si>
  <si>
    <t>S/234.0</t>
  </si>
  <si>
    <t>S/7,732.8</t>
  </si>
  <si>
    <t>S/14,400.0</t>
  </si>
  <si>
    <t>S/22,991.9</t>
  </si>
  <si>
    <t>DIAZ ALBARRAN, Juan S.</t>
  </si>
  <si>
    <t>48 MESES</t>
  </si>
  <si>
    <t>S/29,666.4</t>
  </si>
  <si>
    <t>S/175.8</t>
  </si>
  <si>
    <t>S/4,648.2</t>
  </si>
  <si>
    <t>S/8,164.7</t>
  </si>
  <si>
    <t>S/17,152.7</t>
  </si>
  <si>
    <t>DIAZ ALIAGA, Kevin A.</t>
  </si>
  <si>
    <t>S/32,964.1</t>
  </si>
  <si>
    <t>S/127.2</t>
  </si>
  <si>
    <t>S/3,287.6</t>
  </si>
  <si>
    <t>S/10,327.9</t>
  </si>
  <si>
    <t>S/23,085.0</t>
  </si>
  <si>
    <t>17*</t>
  </si>
  <si>
    <t>DÍAZ QUIROZ, Maritza Y.</t>
  </si>
  <si>
    <t>S/45,768.7</t>
  </si>
  <si>
    <t>S/330.0</t>
  </si>
  <si>
    <t>S/9,801.1</t>
  </si>
  <si>
    <t>S/23,496.3</t>
  </si>
  <si>
    <t>S/32,609.2</t>
  </si>
  <si>
    <t>DÍAZ VERA, Jackeline M.</t>
  </si>
  <si>
    <t>S/66,034.5</t>
  </si>
  <si>
    <t>S/392.7</t>
  </si>
  <si>
    <t>S/15,731.7</t>
  </si>
  <si>
    <t>S/26,137.9</t>
  </si>
  <si>
    <t>S/38,541.4</t>
  </si>
  <si>
    <t>DÍAZ VERA, Tania J.</t>
  </si>
  <si>
    <t>S/59,208.6</t>
  </si>
  <si>
    <t>S/326.8</t>
  </si>
  <si>
    <t>S/14,724.5</t>
  </si>
  <si>
    <t>S/22,567.0</t>
  </si>
  <si>
    <t>S/32,008.5</t>
  </si>
  <si>
    <t>MONTOYA CHÁVEZ, Wilser F.</t>
  </si>
  <si>
    <t>S/66,140.8</t>
  </si>
  <si>
    <t>S/525.8</t>
  </si>
  <si>
    <t>S/11,407.0</t>
  </si>
  <si>
    <t>S/31,912.8</t>
  </si>
  <si>
    <t>S/51,911.3</t>
  </si>
  <si>
    <t>MONTOYA CRISOLOGO, Luis F.</t>
  </si>
  <si>
    <t>S/47,061.6</t>
  </si>
  <si>
    <t>S/313.9</t>
  </si>
  <si>
    <t>S/8,585.4</t>
  </si>
  <si>
    <t>S/16,432.3</t>
  </si>
  <si>
    <t>S/30,771.1</t>
  </si>
  <si>
    <t>MONTOYA MACHUCA, Hugo D.</t>
  </si>
  <si>
    <t>S/29,080.9</t>
  </si>
  <si>
    <t>S/194.2</t>
  </si>
  <si>
    <t>S/4,868.8</t>
  </si>
  <si>
    <t>S/10,307.0</t>
  </si>
  <si>
    <t>S/19,080.2</t>
  </si>
  <si>
    <t>23*</t>
  </si>
  <si>
    <t>PEREYRA CHAVEZ, Jhonatan G.</t>
  </si>
  <si>
    <t>S/34,971.7</t>
  </si>
  <si>
    <t>S/210.0</t>
  </si>
  <si>
    <t>S/6,960.7</t>
  </si>
  <si>
    <t>S/18,758.8</t>
  </si>
  <si>
    <t>S/20,751.4</t>
  </si>
  <si>
    <t>24**</t>
  </si>
  <si>
    <t>PEREYRA RODRIGUEZ, Bertha E.</t>
  </si>
  <si>
    <t>S/33,557.2</t>
  </si>
  <si>
    <t>S/218.6</t>
  </si>
  <si>
    <t>S/4,013.0</t>
  </si>
  <si>
    <t>S/10,352.4</t>
  </si>
  <si>
    <t>S/21,492.0</t>
  </si>
  <si>
    <t>PEREYRA RODRIGUEZ, Hilda L.</t>
  </si>
  <si>
    <t>S/33,058.1</t>
  </si>
  <si>
    <t>S/211.1</t>
  </si>
  <si>
    <t>S/6,328.8</t>
  </si>
  <si>
    <t>S/14,349.1</t>
  </si>
  <si>
    <t>S/20,835.5</t>
  </si>
  <si>
    <t>26***</t>
  </si>
  <si>
    <t>RONCAL ALBARRAN, Alejandro</t>
  </si>
  <si>
    <t>S/61,300.5</t>
  </si>
  <si>
    <t>S/439.0</t>
  </si>
  <si>
    <t>S/7,082.6</t>
  </si>
  <si>
    <t>S/14,325.5</t>
  </si>
  <si>
    <t>S/42,605.9</t>
  </si>
  <si>
    <t>SANCHEZ ZAVALETA, Luis A.</t>
  </si>
  <si>
    <t>S/52,896.8</t>
  </si>
  <si>
    <t>S/405.9</t>
  </si>
  <si>
    <t>S/10,115.7</t>
  </si>
  <si>
    <t>S/26,151.4</t>
  </si>
  <si>
    <t>S/40,086.9</t>
  </si>
  <si>
    <t>TAMBO RABANAL, Esperanza</t>
  </si>
  <si>
    <t>S/40,647.9</t>
  </si>
  <si>
    <t>S/309.7</t>
  </si>
  <si>
    <t>S/7,395.6</t>
  </si>
  <si>
    <t>S/19,006.5</t>
  </si>
  <si>
    <t>S/30,559.6</t>
  </si>
  <si>
    <t>TAPIA DIAZ, Jhonatan E.</t>
  </si>
  <si>
    <t>S/50,061.6</t>
  </si>
  <si>
    <t>S/285.0</t>
  </si>
  <si>
    <t>S/10,329.8</t>
  </si>
  <si>
    <t>S/21,586.0</t>
  </si>
  <si>
    <t>S/28,144.0</t>
  </si>
  <si>
    <t>VERA ARAUJO, Cristina</t>
  </si>
  <si>
    <t>S/40,896.4</t>
  </si>
  <si>
    <t>S/143.1</t>
  </si>
  <si>
    <t>S/8,064.5</t>
  </si>
  <si>
    <t>S/12,581.6</t>
  </si>
  <si>
    <t>S/24,415.6</t>
  </si>
  <si>
    <t>FEBRERO DE 2026 - TOTAL</t>
  </si>
  <si>
    <t>S/1,414,246.8</t>
  </si>
  <si>
    <t>S/8,614.9</t>
  </si>
  <si>
    <t>S/252,389.1</t>
  </si>
  <si>
    <t>S/524,538.9</t>
  </si>
  <si>
    <t>S/874,593.1</t>
  </si>
  <si>
    <t>RELACIÓN DE PRÉSTAMOS DE LOS INTEGRANTES DE LA ASOCIACIÓN</t>
  </si>
  <si>
    <t>N° MESES</t>
  </si>
  <si>
    <t>FECHA PRESTAMO</t>
  </si>
  <si>
    <t>SALDO</t>
  </si>
  <si>
    <t>MES/2026</t>
  </si>
  <si>
    <t>REUNIÓN</t>
  </si>
  <si>
    <t>PERMISOS</t>
  </si>
  <si>
    <t>ALIAGA ARAUJO, Angel Fernando</t>
  </si>
  <si>
    <t>60 meses</t>
  </si>
  <si>
    <t>ALVAREZ DÍAZ, René</t>
  </si>
  <si>
    <t>FEBRERO</t>
  </si>
  <si>
    <t>ARAUJO SANCHEZ, Magda Mercedes</t>
  </si>
  <si>
    <t>84 meses</t>
  </si>
  <si>
    <t>BARRANTES ROJAS, Luis Euler</t>
  </si>
  <si>
    <t>72 meses</t>
  </si>
  <si>
    <t>BAZAN VASQUEZ, Mirtha Lusnilda</t>
  </si>
  <si>
    <t>CHAVEZ ALVAREZ, Jorge Arturo</t>
  </si>
  <si>
    <t>CHAVEZ ALVAREZ, Luis Fernando</t>
  </si>
  <si>
    <t>CHAVEZ CHAVEZ, Jorge Emiliano</t>
  </si>
  <si>
    <t>36 meses</t>
  </si>
  <si>
    <t>CHAVEZ MARIN Edwin Felix</t>
  </si>
  <si>
    <t>CHAVEZ QUEVEDO, Melba Gladis</t>
  </si>
  <si>
    <t>12 meses</t>
  </si>
  <si>
    <t>ENERO</t>
  </si>
  <si>
    <t>CHAVEZ SALAZAR, María Elizabeth</t>
  </si>
  <si>
    <t>29/02/2025</t>
  </si>
  <si>
    <t>DIAZ ALBARRAN, Carlos Felipe</t>
  </si>
  <si>
    <t>DIAZ ALBARRAN, Juan de la Salle</t>
  </si>
  <si>
    <t>48 meses</t>
  </si>
  <si>
    <t>21/12/2025 - 7 PM</t>
  </si>
  <si>
    <t>DIAZ ALIAGA, Kevin Airton</t>
  </si>
  <si>
    <t>DÍAZ QUIROZ, Maritza Yolanda</t>
  </si>
  <si>
    <t>DÍAZ VERA, Jackeline Magdalena</t>
  </si>
  <si>
    <t>DÍAZ VERA, Tania Janet</t>
  </si>
  <si>
    <t>MONTOYA CHÁVEZ, Wilser Filadelfo</t>
  </si>
  <si>
    <t>NOVIEMBRE 2025
FEBRERO 2026</t>
  </si>
  <si>
    <t>MONTOYA CRISOLOGO, Luis Fernando</t>
  </si>
  <si>
    <t>MONTOYA MACHUCA, Hugo Delesmiro</t>
  </si>
  <si>
    <t>PEREYRA CHAVEZ, Jhonatan Guillermo</t>
  </si>
  <si>
    <t>30/11/2025 - 7 PM</t>
  </si>
  <si>
    <t>PEREYRA RODRIGUEZ, Bertha Esther</t>
  </si>
  <si>
    <t>NO SE REALIZÓ</t>
  </si>
  <si>
    <t>PEREYRA RODRIGUEZ, Hilda Lucila</t>
  </si>
  <si>
    <t>28/02/2026 - 7 PM</t>
  </si>
  <si>
    <t>SANCHEZ ZAVALETA, Luis Alberto</t>
  </si>
  <si>
    <t>TAPIA DIAZ, Jhonatan Edinson</t>
  </si>
  <si>
    <t>TOTAL</t>
  </si>
  <si>
    <t>ACCIONES POR SOCIO</t>
  </si>
  <si>
    <t>APORTACIÓN MARZO DE 2026</t>
  </si>
  <si>
    <t>RELACIÓN DE CUOTAS DE LOS INTEGRANTES DE LA ASOCIACIÓN</t>
  </si>
  <si>
    <t>FECHA</t>
  </si>
  <si>
    <t>PRÉSTAMO</t>
  </si>
  <si>
    <t>APORTACIÓN</t>
  </si>
  <si>
    <t>S/506.1</t>
  </si>
  <si>
    <t>S/150.0</t>
  </si>
  <si>
    <t>S/656.1</t>
  </si>
  <si>
    <t>S/777.4</t>
  </si>
  <si>
    <t>S/927.4</t>
  </si>
  <si>
    <t>S/901.4</t>
  </si>
  <si>
    <t>S/1,051.4</t>
  </si>
  <si>
    <t>S/846.3</t>
  </si>
  <si>
    <t>S/996.3</t>
  </si>
  <si>
    <t>S/800.6</t>
  </si>
  <si>
    <t>S/950.6</t>
  </si>
  <si>
    <t>S/737.6</t>
  </si>
  <si>
    <t>S/887.6</t>
  </si>
  <si>
    <t>S/535.1</t>
  </si>
  <si>
    <t>S/685.1</t>
  </si>
  <si>
    <t>S/770.2</t>
  </si>
  <si>
    <t>S/920.2</t>
  </si>
  <si>
    <t>S/966.4</t>
  </si>
  <si>
    <t>S/1,116.4</t>
  </si>
  <si>
    <t>S/751.7</t>
  </si>
  <si>
    <t>S/901.7</t>
  </si>
  <si>
    <t>S/1,123.9</t>
  </si>
  <si>
    <t>S/1,273.9</t>
  </si>
  <si>
    <t>S/2,381.0</t>
  </si>
  <si>
    <t>S/2,531.0</t>
  </si>
  <si>
    <t>S/496.9</t>
  </si>
  <si>
    <t>S/646.9</t>
  </si>
  <si>
    <t>S/633.3</t>
  </si>
  <si>
    <t>S/783.3</t>
  </si>
  <si>
    <t>S/600.3</t>
  </si>
  <si>
    <t>S/750.3</t>
  </si>
  <si>
    <t>S/615.7</t>
  </si>
  <si>
    <t>S/765.7</t>
  </si>
  <si>
    <t>S/719.0</t>
  </si>
  <si>
    <t>S/869.0</t>
  </si>
  <si>
    <t>S/1,112.6</t>
  </si>
  <si>
    <t>S/1,262.6</t>
  </si>
  <si>
    <t>S/986.9</t>
  </si>
  <si>
    <t>S/1,136.9</t>
  </si>
  <si>
    <t>S/1,184.6</t>
  </si>
  <si>
    <t>S/1,334.6</t>
  </si>
  <si>
    <t>S/923.1</t>
  </si>
  <si>
    <t>S/1,073.1</t>
  </si>
  <si>
    <t>S/531.5</t>
  </si>
  <si>
    <t>S/681.5</t>
  </si>
  <si>
    <t>S/457.5</t>
  </si>
  <si>
    <t>S/607.5</t>
  </si>
  <si>
    <t>S/585.5</t>
  </si>
  <si>
    <t>S/735.5</t>
  </si>
  <si>
    <t>S/482.6</t>
  </si>
  <si>
    <t>S/632.6</t>
  </si>
  <si>
    <t>S/1,717.2</t>
  </si>
  <si>
    <t>S/1,867.2</t>
  </si>
  <si>
    <t>S/908.3</t>
  </si>
  <si>
    <t>S/1,058.3</t>
  </si>
  <si>
    <t>S/713.1</t>
  </si>
  <si>
    <t>S/863.1</t>
  </si>
  <si>
    <t>S/637.7</t>
  </si>
  <si>
    <t>S/787.7</t>
  </si>
  <si>
    <t>S/922.4</t>
  </si>
  <si>
    <t>S/1,072.4</t>
  </si>
  <si>
    <t>MARZO DE 2026 - TOTAL</t>
  </si>
  <si>
    <t>S/25,325.9</t>
  </si>
  <si>
    <t>S/4,500.0</t>
  </si>
  <si>
    <t>S/29,825.9</t>
  </si>
  <si>
    <t>SOCIO: ANGEL FERNANDO ALIAGA ARAUJO</t>
  </si>
  <si>
    <t>NOVIEMBRE 2024 - PRÉSTAMO</t>
  </si>
  <si>
    <t>PLAZO</t>
  </si>
  <si>
    <t>PRÉSTAMO S/.</t>
  </si>
  <si>
    <t>INTERES</t>
  </si>
  <si>
    <t>ABONO DE CAPITAL</t>
  </si>
  <si>
    <t>CUOTA</t>
  </si>
  <si>
    <t>PRESTAMO</t>
  </si>
  <si>
    <t>SOCIA: ALVAREZ DÍAZ, RENÉ</t>
  </si>
  <si>
    <t>FEBRERO 2026 - PRÉSTAMO</t>
  </si>
  <si>
    <t>SOCIA: MAGDA ARAUJO SANCHEZ</t>
  </si>
  <si>
    <t>MAYO 2025 - PRÉSTAMO</t>
  </si>
  <si>
    <t>SOCIO: LUIS BARRANTES ROJAS</t>
  </si>
  <si>
    <t>ABRIL 2023 - PRÉSTAMO</t>
  </si>
  <si>
    <t>SOCIA: BAZAN VASQUEZ, MIRTHA LUSNILDA</t>
  </si>
  <si>
    <t>AGOSTO 2025 - PRÉSTAMO</t>
  </si>
  <si>
    <t>SOCIO: JORGE CABANILLAS IZQUIERDO</t>
  </si>
  <si>
    <t>SOCIO: JORGE ARTURO CHAVEZ ALVAREZ</t>
  </si>
  <si>
    <t>JULIO 2025 - PRÉSTAMO</t>
  </si>
  <si>
    <t>DEVOLUCIÓN</t>
  </si>
  <si>
    <t>SOCIO: LUIS FERNANDO CHAVEZ ALVAREZ</t>
  </si>
  <si>
    <t>SOCIO: JORGE EMILIANO CHAVEZ CHAVEZ</t>
  </si>
  <si>
    <t>JUNIO 2025 - PRÉSTAMO</t>
  </si>
  <si>
    <t>SOCIO: CHAVEZ CHAVEZ PEDRO</t>
  </si>
  <si>
    <t>AGOSTO 2024 - PRÉSTAMO</t>
  </si>
  <si>
    <t>OCTUBRE 2025 - PRÉSTAMO</t>
  </si>
  <si>
    <t>SOCIO: EDWIN FELIX CHAVEZ MARIN</t>
  </si>
  <si>
    <t>SETIEMBRE 2025 - PRÉSTAMO</t>
  </si>
  <si>
    <t>SOCIO: MELBA GLADIS CHAVEZ QUEVEDO</t>
  </si>
  <si>
    <t>OCTUBRE 2024 - PRÉSTAMO</t>
  </si>
  <si>
    <t>SOCIO: MARIA ELIZABETH CHAVEZ SALAZAR</t>
  </si>
  <si>
    <t>FEBRERO 2025 - PRÉSTAMO</t>
  </si>
  <si>
    <t>SOCIO: CARLOS DÍAZ ALBARRAN</t>
  </si>
  <si>
    <t>NOVIEMBRE 2023 - PRÉSTAMO</t>
  </si>
  <si>
    <t>SOCIO: JUAN DE LA SALLE DIAZ ALBARRAN</t>
  </si>
  <si>
    <t>SOCIO: KEVIN DIAZ ALIAGA</t>
  </si>
  <si>
    <t>MARZO 2025 - PRÉSTAMO</t>
  </si>
  <si>
    <t>SOCIA: MARITZA DIAZ QUIROZ</t>
  </si>
  <si>
    <t>ENERO 2026 - PRÉSTAMO</t>
  </si>
  <si>
    <t>SOCIA: DÍAZ VERA JACKELINE MAGDALENA</t>
  </si>
  <si>
    <t>JULIO 2024 - PRÉSTAMO</t>
  </si>
  <si>
    <t>SOCIO: TANIA JANET DIAZ VERA</t>
  </si>
  <si>
    <t>SOCIO: WILSER FILADELFIO MONTOYA CHAVEZ</t>
  </si>
  <si>
    <t>SOCIO: LUIS FERNANDO MONTOYA CRISOLOGO</t>
  </si>
  <si>
    <t>ABRIL 2025 - PRÉSTAMO</t>
  </si>
  <si>
    <t>SOCIO: HUGO DELESMIRO MONTOYA MACHUCA</t>
  </si>
  <si>
    <t>SOCIO: JHONATAN GUILLERMO PEREYRA CHAVEZ</t>
  </si>
  <si>
    <t>SETIEMBRE 2024 - PRÉSTAMO</t>
  </si>
  <si>
    <t>SOCIA: PEREYRA RODRIGUEZ, BERTHA ESTHER</t>
  </si>
  <si>
    <t>SOCIA: HILDA PEREYRA RODRIGUEZ</t>
  </si>
  <si>
    <t>SOCIO: RONCAL ALBARRAN, Alejandro</t>
  </si>
  <si>
    <t>MARZO 2024 - PRÉSTAMO</t>
  </si>
  <si>
    <t>SOCIO: ALEJANDRO RONCAL ALBARRAN</t>
  </si>
  <si>
    <t>NOVIEMBRE 2025 - PRÉSTAMO</t>
  </si>
  <si>
    <t>SOCIO: LUIS ALBERTO SANCHEZ ZAVALETA</t>
  </si>
  <si>
    <t>SOCIA: ESPERANZA TAMBO RABANAL</t>
  </si>
  <si>
    <t>SOCIO: JHONATAN EDINSON TAPIA DIAZ</t>
  </si>
  <si>
    <t>SOCIA: VERA ARAUJO CRISTINA</t>
  </si>
  <si>
    <t>ENERO 2025 - PRÉSTAMO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</si>
</sst>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/mm/yyyy"/>
    <numFmt numFmtId="166" formatCode="[$S/.]#,##0.0"/>
    <numFmt numFmtId="167" formatCode="[$S/.]#,##0.00"/>
    <numFmt numFmtId="168" formatCode="mmmm yyyy"/>
    <numFmt numFmtId="169" formatCode="dd&quot;/&quot;mm&quot;/&quot;yyyy"/>
    <numFmt numFmtId="170" formatCode="&quot;S/&quot;#,##0.0"/>
    <numFmt numFmtId="171" formatCode="&quot;S/&quot;#,##0.00"/>
    <numFmt numFmtId="172" formatCode="#,##0.0"/>
  </numFmts>
  <fonts count="30">
    <font>
      <sz val="11.0"/>
      <color theme="1"/>
      <name val="Aptos Narrow"/>
      <scheme val="minor"/>
    </font>
    <font>
      <b/>
      <sz val="30.0"/>
      <color rgb="FF000000"/>
      <name val="Calibri"/>
    </font>
    <font/>
    <font>
      <color theme="1"/>
      <name val="Aptos Narrow"/>
      <scheme val="minor"/>
    </font>
    <font>
      <b/>
      <sz val="14.0"/>
      <color rgb="FF000000"/>
      <name val="Calibri"/>
    </font>
    <font>
      <b/>
      <sz val="14.0"/>
      <color theme="1"/>
      <name val="Calibri"/>
    </font>
    <font>
      <sz val="14.0"/>
      <color rgb="FF000000"/>
      <name val="Calibri"/>
    </font>
    <font>
      <sz val="14.0"/>
      <color theme="1"/>
      <name val="Calibri"/>
    </font>
    <font>
      <b/>
      <sz val="14.0"/>
      <color rgb="FFFF0000"/>
      <name val="Calibri"/>
    </font>
    <font>
      <b/>
      <sz val="17.0"/>
      <color rgb="FF000000"/>
      <name val="Calibri"/>
    </font>
    <font>
      <b/>
      <sz val="15.0"/>
      <color rgb="FF000000"/>
      <name val="Calibri"/>
    </font>
    <font>
      <b/>
      <sz val="15.0"/>
      <color theme="1"/>
      <name val="Calibri"/>
    </font>
    <font>
      <b/>
      <sz val="15.0"/>
      <color theme="1"/>
      <name val="Arial"/>
    </font>
    <font>
      <b/>
      <sz val="15.0"/>
      <color theme="1"/>
      <name val="Aptos Narrow"/>
      <scheme val="minor"/>
    </font>
    <font>
      <b/>
      <sz val="15.0"/>
      <color theme="1"/>
      <name val="Aptos Narrow"/>
    </font>
    <font>
      <sz val="15.0"/>
      <color theme="1"/>
      <name val="Aptos Narrow"/>
    </font>
    <font>
      <sz val="15.0"/>
      <color rgb="FF00206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color theme="1"/>
      <name val="Arial"/>
    </font>
    <font>
      <sz val="15.0"/>
      <color rgb="FFF3F3F3"/>
      <name val="Aptos Narrow"/>
    </font>
    <font>
      <b/>
      <sz val="15.0"/>
      <color rgb="FFF3F3F3"/>
      <name val="Aptos Narrow"/>
    </font>
    <font>
      <sz val="15.0"/>
      <color theme="1"/>
      <name val="Arial"/>
    </font>
    <font>
      <sz val="11.0"/>
      <color theme="1"/>
      <name val="Aptos Narrow"/>
    </font>
    <font>
      <b/>
      <sz val="14.0"/>
      <color theme="1"/>
      <name val="Aptos Narrow"/>
      <scheme val="minor"/>
    </font>
    <font>
      <sz val="11.0"/>
      <color rgb="FF000000"/>
      <name val="Calibri"/>
    </font>
    <font>
      <sz val="15.0"/>
      <color rgb="FF000000"/>
      <name val="Calibri"/>
    </font>
    <font>
      <sz val="15.0"/>
      <color rgb="FF002060"/>
      <name val="Calibri"/>
    </font>
    <font>
      <sz val="15.0"/>
      <color theme="1"/>
      <name val="Calibri"/>
    </font>
    <font>
      <b/>
      <sz val="12.0"/>
      <color theme="1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ED7D31"/>
        <bgColor rgb="FFED7D31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00FF00"/>
        <bgColor rgb="FF00FF00"/>
      </patternFill>
    </fill>
    <fill>
      <patternFill patternType="solid">
        <fgColor rgb="FFFDEFE7"/>
        <bgColor rgb="FFFDEFE7"/>
      </patternFill>
    </fill>
    <fill>
      <patternFill patternType="solid">
        <fgColor rgb="FFEAF4E4"/>
        <bgColor rgb="FFEAF4E4"/>
      </patternFill>
    </fill>
    <fill>
      <patternFill patternType="solid">
        <fgColor rgb="FFFF0000"/>
        <bgColor rgb="FFFF0000"/>
      </patternFill>
    </fill>
    <fill>
      <patternFill patternType="solid">
        <fgColor rgb="FFE1F4F9"/>
        <bgColor rgb="FFE1F4F9"/>
      </patternFill>
    </fill>
    <fill>
      <patternFill patternType="solid">
        <fgColor rgb="FFD9E1F2"/>
        <bgColor rgb="FFD9E1F2"/>
      </patternFill>
    </fill>
    <fill>
      <patternFill patternType="solid">
        <fgColor rgb="FFAEAEAE"/>
        <bgColor rgb="FFAEAEAE"/>
      </patternFill>
    </fill>
    <fill>
      <patternFill patternType="solid">
        <fgColor rgb="FFD0D0D0"/>
        <bgColor rgb="FFD0D0D0"/>
      </patternFill>
    </fill>
    <fill>
      <patternFill patternType="solid">
        <fgColor rgb="FFE8E8E8"/>
        <bgColor rgb="FFE8E8E8"/>
      </patternFill>
    </fill>
    <fill>
      <patternFill patternType="solid">
        <fgColor rgb="FFD9F2D0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rgb="FFAEAAAA"/>
        <bgColor rgb="FFAEAAAA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0" fillId="3" fontId="4" numFmtId="0" xfId="0" applyAlignment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5" fillId="5" fontId="4" numFmtId="0" xfId="0" applyAlignment="1" applyBorder="1" applyFill="1" applyFont="1">
      <alignment horizontal="center" readingOrder="0" shrinkToFit="0" vertical="center" wrapText="1"/>
    </xf>
    <xf borderId="5" fillId="6" fontId="4" numFmtId="0" xfId="0" applyAlignment="1" applyBorder="1" applyFill="1" applyFon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readingOrder="0" shrinkToFit="0" vertical="center" wrapText="1"/>
    </xf>
    <xf borderId="4" fillId="7" fontId="4" numFmtId="0" xfId="0" applyAlignment="1" applyBorder="1" applyFont="1">
      <alignment readingOrder="0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4" fillId="7" fontId="6" numFmtId="164" xfId="0" applyAlignment="1" applyBorder="1" applyFont="1" applyNumberFormat="1">
      <alignment horizontal="center" readingOrder="0" shrinkToFit="0" vertical="center" wrapText="1"/>
    </xf>
    <xf borderId="4" fillId="7" fontId="4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ont="1">
      <alignment horizontal="center" readingOrder="0" shrinkToFit="0" vertical="center" wrapText="1"/>
    </xf>
    <xf borderId="4" fillId="8" fontId="5" numFmtId="0" xfId="0" applyAlignment="1" applyBorder="1" applyFill="1" applyFont="1">
      <alignment horizontal="center" readingOrder="0" shrinkToFit="0" vertical="center" wrapText="1"/>
    </xf>
    <xf borderId="4" fillId="8" fontId="4" numFmtId="0" xfId="0" applyAlignment="1" applyBorder="1" applyFont="1">
      <alignment readingOrder="0" shrinkToFit="0" vertical="center" wrapText="1"/>
    </xf>
    <xf borderId="4" fillId="8" fontId="6" numFmtId="0" xfId="0" applyAlignment="1" applyBorder="1" applyFont="1">
      <alignment horizontal="center" readingOrder="0" shrinkToFit="0" vertical="center" wrapText="1"/>
    </xf>
    <xf borderId="4" fillId="8" fontId="6" numFmtId="165" xfId="0" applyAlignment="1" applyBorder="1" applyFont="1" applyNumberFormat="1">
      <alignment horizontal="center" readingOrder="0" shrinkToFit="0" vertical="center" wrapText="1"/>
    </xf>
    <xf borderId="4" fillId="8" fontId="4" numFmtId="0" xfId="0" applyAlignment="1" applyBorder="1" applyFont="1">
      <alignment horizontal="center" readingOrder="0" shrinkToFit="0" vertical="center" wrapText="1"/>
    </xf>
    <xf borderId="4" fillId="8" fontId="7" numFmtId="0" xfId="0" applyAlignment="1" applyBorder="1" applyFont="1">
      <alignment horizontal="center" readingOrder="0" shrinkToFit="0" vertical="center" wrapText="1"/>
    </xf>
    <xf borderId="4" fillId="7" fontId="6" numFmtId="165" xfId="0" applyAlignment="1" applyBorder="1" applyFont="1" applyNumberFormat="1">
      <alignment horizontal="center" readingOrder="0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readingOrder="0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4" fillId="4" fontId="7" numFmtId="165" xfId="0" applyAlignment="1" applyBorder="1" applyFont="1" applyNumberFormat="1">
      <alignment horizontal="center" readingOrder="0" shrinkToFit="0" vertical="center" wrapText="1"/>
    </xf>
    <xf borderId="0" fillId="9" fontId="3" numFmtId="0" xfId="0" applyFill="1" applyFont="1"/>
    <xf borderId="4" fillId="10" fontId="5" numFmtId="0" xfId="0" applyAlignment="1" applyBorder="1" applyFill="1" applyFont="1">
      <alignment horizontal="center" readingOrder="0" shrinkToFit="0" vertical="center" wrapText="1"/>
    </xf>
    <xf borderId="4" fillId="10" fontId="4" numFmtId="0" xfId="0" applyAlignment="1" applyBorder="1" applyFont="1">
      <alignment readingOrder="0" shrinkToFit="0" vertical="center" wrapText="1"/>
    </xf>
    <xf borderId="4" fillId="10" fontId="6" numFmtId="0" xfId="0" applyAlignment="1" applyBorder="1" applyFont="1">
      <alignment horizontal="center" readingOrder="0" shrinkToFit="0" vertical="center" wrapText="1"/>
    </xf>
    <xf borderId="4" fillId="10" fontId="6" numFmtId="165" xfId="0" applyAlignment="1" applyBorder="1" applyFont="1" applyNumberFormat="1">
      <alignment horizontal="center" readingOrder="0" shrinkToFit="0" vertical="center" wrapText="1"/>
    </xf>
    <xf borderId="4" fillId="10" fontId="4" numFmtId="0" xfId="0" applyAlignment="1" applyBorder="1" applyFont="1">
      <alignment horizontal="center" readingOrder="0" shrinkToFit="0" vertical="center" wrapText="1"/>
    </xf>
    <xf borderId="4" fillId="10" fontId="7" numFmtId="0" xfId="0" applyAlignment="1" applyBorder="1" applyFont="1">
      <alignment horizontal="center" readingOrder="0" shrinkToFit="0" vertical="center" wrapText="1"/>
    </xf>
    <xf borderId="4" fillId="11" fontId="5" numFmtId="0" xfId="0" applyAlignment="1" applyBorder="1" applyFill="1" applyFont="1">
      <alignment horizontal="center" readingOrder="0" shrinkToFit="0" vertical="center" wrapText="1"/>
    </xf>
    <xf borderId="4" fillId="11" fontId="5" numFmtId="0" xfId="0" applyAlignment="1" applyBorder="1" applyFont="1">
      <alignment readingOrder="0" shrinkToFit="0" vertical="center" wrapText="1"/>
    </xf>
    <xf borderId="4" fillId="11" fontId="7" numFmtId="0" xfId="0" applyAlignment="1" applyBorder="1" applyFont="1">
      <alignment horizontal="center" readingOrder="0" shrinkToFit="0" vertical="center" wrapText="1"/>
    </xf>
    <xf borderId="4" fillId="11" fontId="7" numFmtId="165" xfId="0" applyAlignment="1" applyBorder="1" applyFont="1" applyNumberFormat="1">
      <alignment horizontal="center" readingOrder="0" shrinkToFit="0" vertical="center" wrapText="1"/>
    </xf>
    <xf borderId="4" fillId="11" fontId="7" numFmtId="164" xfId="0" applyAlignment="1" applyBorder="1" applyFont="1" applyNumberFormat="1">
      <alignment horizontal="center" readingOrder="0" shrinkToFit="0" vertical="center" wrapText="1"/>
    </xf>
    <xf borderId="4" fillId="7" fontId="5" numFmtId="0" xfId="0" applyAlignment="1" applyBorder="1" applyFont="1">
      <alignment readingOrder="0" shrinkToFit="0" vertical="center" wrapText="1"/>
    </xf>
    <xf borderId="4" fillId="7" fontId="7" numFmtId="164" xfId="0" applyAlignment="1" applyBorder="1" applyFont="1" applyNumberFormat="1">
      <alignment horizontal="center" readingOrder="0" shrinkToFit="0" vertical="center" wrapText="1"/>
    </xf>
    <xf borderId="4" fillId="7" fontId="7" numFmtId="165" xfId="0" applyAlignment="1" applyBorder="1" applyFont="1" applyNumberFormat="1">
      <alignment horizontal="center" readingOrder="0" shrinkToFit="0" vertical="center" wrapText="1"/>
    </xf>
    <xf borderId="4" fillId="12" fontId="5" numFmtId="0" xfId="0" applyAlignment="1" applyBorder="1" applyFill="1" applyFont="1">
      <alignment horizontal="center" readingOrder="0" shrinkToFit="0" vertical="center" wrapText="1"/>
    </xf>
    <xf borderId="4" fillId="12" fontId="5" numFmtId="0" xfId="0" applyAlignment="1" applyBorder="1" applyFont="1">
      <alignment readingOrder="0" shrinkToFit="0" vertical="center" wrapText="1"/>
    </xf>
    <xf borderId="4" fillId="12" fontId="7" numFmtId="0" xfId="0" applyAlignment="1" applyBorder="1" applyFont="1">
      <alignment horizontal="center" readingOrder="0" shrinkToFit="0" vertical="center" wrapText="1"/>
    </xf>
    <xf borderId="4" fillId="12" fontId="7" numFmtId="165" xfId="0" applyAlignment="1" applyBorder="1" applyFont="1" applyNumberFormat="1">
      <alignment horizontal="center" readingOrder="0" shrinkToFit="0" vertical="center" wrapText="1"/>
    </xf>
    <xf borderId="4" fillId="12" fontId="4" numFmtId="0" xfId="0" applyAlignment="1" applyBorder="1" applyFont="1">
      <alignment readingOrder="0" shrinkToFit="0" vertical="center" wrapText="1"/>
    </xf>
    <xf borderId="4" fillId="12" fontId="6" numFmtId="0" xfId="0" applyAlignment="1" applyBorder="1" applyFont="1">
      <alignment horizontal="center" readingOrder="0" shrinkToFit="0" vertical="center" wrapText="1"/>
    </xf>
    <xf borderId="4" fillId="12" fontId="6" numFmtId="165" xfId="0" applyAlignment="1" applyBorder="1" applyFont="1" applyNumberFormat="1">
      <alignment horizontal="center" readingOrder="0" shrinkToFit="0" vertical="center" wrapText="1"/>
    </xf>
    <xf borderId="4" fillId="12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0" fillId="0" fontId="3" numFmtId="166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7" xfId="0" applyFont="1" applyNumberFormat="1"/>
    <xf borderId="1" fillId="0" fontId="9" numFmtId="0" xfId="0" applyAlignment="1" applyBorder="1" applyFont="1">
      <alignment horizontal="center" readingOrder="0" shrinkToFit="0" vertical="center" wrapText="0"/>
    </xf>
    <xf borderId="4" fillId="4" fontId="10" numFmtId="0" xfId="0" applyAlignment="1" applyBorder="1" applyFont="1">
      <alignment horizontal="center" readingOrder="0" shrinkToFit="0" vertical="center" wrapText="0"/>
    </xf>
    <xf borderId="4" fillId="2" fontId="11" numFmtId="0" xfId="0" applyAlignment="1" applyBorder="1" applyFont="1">
      <alignment horizontal="center" readingOrder="0" shrinkToFit="0" vertical="center" wrapText="0"/>
    </xf>
    <xf borderId="4" fillId="2" fontId="11" numFmtId="0" xfId="0" applyAlignment="1" applyBorder="1" applyFont="1">
      <alignment readingOrder="0" shrinkToFit="0" vertical="center" wrapText="0"/>
    </xf>
    <xf borderId="4" fillId="2" fontId="11" numFmtId="164" xfId="0" applyAlignment="1" applyBorder="1" applyFont="1" applyNumberFormat="1">
      <alignment horizontal="center" readingOrder="0" shrinkToFit="0" vertical="center" wrapText="0"/>
    </xf>
    <xf borderId="4" fillId="2" fontId="10" numFmtId="166" xfId="0" applyAlignment="1" applyBorder="1" applyFont="1" applyNumberFormat="1">
      <alignment horizontal="center" readingOrder="0" shrinkToFit="0" vertical="bottom" wrapText="0"/>
    </xf>
    <xf borderId="4" fillId="2" fontId="11" numFmtId="168" xfId="0" applyAlignment="1" applyBorder="1" applyFont="1" applyNumberFormat="1">
      <alignment horizontal="center" readingOrder="0" shrinkToFit="0" vertical="center" wrapText="0"/>
    </xf>
    <xf borderId="4" fillId="13" fontId="11" numFmtId="0" xfId="0" applyAlignment="1" applyBorder="1" applyFill="1" applyFont="1">
      <alignment readingOrder="0" shrinkToFit="0" vertical="center" wrapText="0"/>
    </xf>
    <xf borderId="4" fillId="13" fontId="11" numFmtId="0" xfId="0" applyAlignment="1" applyBorder="1" applyFont="1">
      <alignment horizontal="center" readingOrder="0" shrinkToFit="0" vertical="center" wrapText="0"/>
    </xf>
    <xf borderId="4" fillId="13" fontId="11" numFmtId="165" xfId="0" applyAlignment="1" applyBorder="1" applyFont="1" applyNumberFormat="1">
      <alignment horizontal="center" readingOrder="0" shrinkToFit="0" vertical="center" wrapText="0"/>
    </xf>
    <xf borderId="4" fillId="13" fontId="10" numFmtId="166" xfId="0" applyAlignment="1" applyBorder="1" applyFont="1" applyNumberFormat="1">
      <alignment horizontal="center" readingOrder="0" shrinkToFit="0" vertical="bottom" wrapText="0"/>
    </xf>
    <xf borderId="4" fillId="2" fontId="11" numFmtId="165" xfId="0" applyAlignment="1" applyBorder="1" applyFont="1" applyNumberFormat="1">
      <alignment horizontal="center" readingOrder="0" shrinkToFit="0" vertical="center" wrapText="0"/>
    </xf>
    <xf borderId="4" fillId="14" fontId="11" numFmtId="0" xfId="0" applyAlignment="1" applyBorder="1" applyFill="1" applyFont="1">
      <alignment horizontal="center" readingOrder="0" shrinkToFit="0" vertical="center" wrapText="0"/>
    </xf>
    <xf borderId="4" fillId="14" fontId="10" numFmtId="0" xfId="0" applyAlignment="1" applyBorder="1" applyFont="1">
      <alignment readingOrder="0" shrinkToFit="0" vertical="center" wrapText="0"/>
    </xf>
    <xf borderId="4" fillId="14" fontId="10" numFmtId="0" xfId="0" applyAlignment="1" applyBorder="1" applyFont="1">
      <alignment horizontal="center" readingOrder="0" shrinkToFit="0" vertical="center" wrapText="0"/>
    </xf>
    <xf borderId="4" fillId="14" fontId="10" numFmtId="165" xfId="0" applyAlignment="1" applyBorder="1" applyFont="1" applyNumberFormat="1">
      <alignment horizontal="center" readingOrder="0" shrinkToFit="0" vertical="center" wrapText="0"/>
    </xf>
    <xf borderId="4" fillId="14" fontId="10" numFmtId="166" xfId="0" applyAlignment="1" applyBorder="1" applyFont="1" applyNumberFormat="1">
      <alignment horizontal="center" readingOrder="0" shrinkToFit="0" vertical="bottom" wrapText="0"/>
    </xf>
    <xf borderId="4" fillId="14" fontId="11" numFmtId="168" xfId="0" applyAlignment="1" applyBorder="1" applyFont="1" applyNumberFormat="1">
      <alignment horizontal="center" readingOrder="0" shrinkToFit="0" vertical="center" wrapText="0"/>
    </xf>
    <xf borderId="4" fillId="14" fontId="10" numFmtId="168" xfId="0" applyAlignment="1" applyBorder="1" applyFont="1" applyNumberFormat="1">
      <alignment horizontal="center" readingOrder="0" shrinkToFit="0" vertical="center" wrapText="0"/>
    </xf>
    <xf borderId="4" fillId="14" fontId="10" numFmtId="164" xfId="0" applyAlignment="1" applyBorder="1" applyFont="1" applyNumberFormat="1">
      <alignment horizontal="center" readingOrder="0" shrinkToFit="0" vertical="center" wrapText="0"/>
    </xf>
    <xf borderId="4" fillId="13" fontId="10" numFmtId="0" xfId="0" applyAlignment="1" applyBorder="1" applyFont="1">
      <alignment readingOrder="0" shrinkToFit="0" vertical="center" wrapText="0"/>
    </xf>
    <xf borderId="4" fillId="13" fontId="10" numFmtId="0" xfId="0" applyAlignment="1" applyBorder="1" applyFont="1">
      <alignment horizontal="center" readingOrder="0" shrinkToFit="0" vertical="center" wrapText="0"/>
    </xf>
    <xf borderId="4" fillId="13" fontId="10" numFmtId="165" xfId="0" applyAlignment="1" applyBorder="1" applyFont="1" applyNumberFormat="1">
      <alignment horizontal="center" readingOrder="0" shrinkToFit="0" vertical="center" wrapText="0"/>
    </xf>
    <xf borderId="6" fillId="14" fontId="10" numFmtId="0" xfId="0" applyAlignment="1" applyBorder="1" applyFont="1">
      <alignment readingOrder="0" shrinkToFit="0" vertical="center" wrapText="0"/>
    </xf>
    <xf borderId="6" fillId="14" fontId="10" numFmtId="0" xfId="0" applyAlignment="1" applyBorder="1" applyFont="1">
      <alignment horizontal="center" readingOrder="0" shrinkToFit="0" vertical="center" wrapText="0"/>
    </xf>
    <xf borderId="6" fillId="14" fontId="10" numFmtId="165" xfId="0" applyAlignment="1" applyBorder="1" applyFont="1" applyNumberFormat="1">
      <alignment horizontal="center" readingOrder="0" shrinkToFit="0" vertical="center" wrapText="0"/>
    </xf>
    <xf borderId="5" fillId="14" fontId="10" numFmtId="0" xfId="0" applyAlignment="1" applyBorder="1" applyFont="1">
      <alignment readingOrder="0" shrinkToFit="0" vertical="center" wrapText="0"/>
    </xf>
    <xf borderId="5" fillId="14" fontId="10" numFmtId="0" xfId="0" applyAlignment="1" applyBorder="1" applyFont="1">
      <alignment horizontal="center" readingOrder="0" shrinkToFit="0" vertical="center" wrapText="0"/>
    </xf>
    <xf borderId="5" fillId="14" fontId="10" numFmtId="165" xfId="0" applyAlignment="1" applyBorder="1" applyFont="1" applyNumberFormat="1">
      <alignment horizontal="center" readingOrder="0" shrinkToFit="0" vertical="center" wrapText="0"/>
    </xf>
    <xf borderId="4" fillId="14" fontId="10" numFmtId="166" xfId="0" applyAlignment="1" applyBorder="1" applyFont="1" applyNumberFormat="1">
      <alignment horizontal="center" readingOrder="0" shrinkToFit="0" vertical="center" wrapText="0"/>
    </xf>
    <xf borderId="4" fillId="15" fontId="11" numFmtId="0" xfId="0" applyAlignment="1" applyBorder="1" applyFill="1" applyFont="1">
      <alignment horizontal="center" readingOrder="0" shrinkToFit="0" vertical="center" wrapText="0"/>
    </xf>
    <xf borderId="5" fillId="4" fontId="10" numFmtId="0" xfId="0" applyAlignment="1" applyBorder="1" applyFont="1">
      <alignment readingOrder="0" shrinkToFit="0" vertical="center" wrapText="0"/>
    </xf>
    <xf borderId="5" fillId="4" fontId="10" numFmtId="0" xfId="0" applyAlignment="1" applyBorder="1" applyFont="1">
      <alignment horizontal="center" readingOrder="0" shrinkToFit="0" vertical="center" wrapText="0"/>
    </xf>
    <xf borderId="5" fillId="4" fontId="10" numFmtId="165" xfId="0" applyAlignment="1" applyBorder="1" applyFont="1" applyNumberFormat="1">
      <alignment horizontal="center" readingOrder="0" shrinkToFit="0" vertical="center" wrapText="0"/>
    </xf>
    <xf borderId="4" fillId="4" fontId="10" numFmtId="166" xfId="0" applyAlignment="1" applyBorder="1" applyFont="1" applyNumberFormat="1">
      <alignment horizontal="center" readingOrder="0" shrinkToFit="0" vertical="bottom" wrapText="0"/>
    </xf>
    <xf borderId="4" fillId="4" fontId="11" numFmtId="168" xfId="0" applyAlignment="1" applyBorder="1" applyFont="1" applyNumberFormat="1">
      <alignment horizontal="center" readingOrder="0" shrinkToFit="0" vertical="center" wrapText="0"/>
    </xf>
    <xf borderId="4" fillId="15" fontId="10" numFmtId="168" xfId="0" applyAlignment="1" applyBorder="1" applyFont="1" applyNumberFormat="1">
      <alignment horizontal="center" readingOrder="0" shrinkToFit="0" vertical="center" wrapText="0"/>
    </xf>
    <xf borderId="4" fillId="4" fontId="11" numFmtId="165" xfId="0" applyAlignment="1" applyBorder="1" applyFont="1" applyNumberFormat="1">
      <alignment horizontal="center" readingOrder="0" shrinkToFit="0" vertical="center" wrapText="0"/>
    </xf>
    <xf borderId="4" fillId="4" fontId="11" numFmtId="0" xfId="0" applyAlignment="1" applyBorder="1" applyFont="1">
      <alignment horizontal="center" readingOrder="0" shrinkToFit="0" vertical="center" wrapText="0"/>
    </xf>
    <xf borderId="4" fillId="4" fontId="10" numFmtId="168" xfId="0" applyAlignment="1" applyBorder="1" applyFont="1" applyNumberFormat="1">
      <alignment horizontal="center" readingOrder="0" shrinkToFit="0" vertical="center" wrapText="0"/>
    </xf>
    <xf borderId="5" fillId="4" fontId="10" numFmtId="164" xfId="0" applyAlignment="1" applyBorder="1" applyFont="1" applyNumberFormat="1">
      <alignment horizontal="center" readingOrder="0" shrinkToFit="0" vertical="center" wrapText="0"/>
    </xf>
    <xf borderId="4" fillId="15" fontId="10" numFmtId="0" xfId="0" applyAlignment="1" applyBorder="1" applyFont="1">
      <alignment horizontal="center" readingOrder="0" shrinkToFit="0" vertical="center" wrapText="0"/>
    </xf>
    <xf borderId="4" fillId="16" fontId="10" numFmtId="0" xfId="0" applyAlignment="1" applyBorder="1" applyFill="1" applyFont="1">
      <alignment horizontal="center" readingOrder="0" shrinkToFit="0" vertical="center" wrapText="0"/>
    </xf>
    <xf borderId="5" fillId="15" fontId="10" numFmtId="0" xfId="0" applyAlignment="1" applyBorder="1" applyFont="1">
      <alignment readingOrder="0" shrinkToFit="0" vertical="center" wrapText="0"/>
    </xf>
    <xf borderId="5" fillId="15" fontId="10" numFmtId="0" xfId="0" applyAlignment="1" applyBorder="1" applyFont="1">
      <alignment horizontal="center" readingOrder="0" shrinkToFit="0" vertical="center" wrapText="0"/>
    </xf>
    <xf borderId="5" fillId="15" fontId="10" numFmtId="165" xfId="0" applyAlignment="1" applyBorder="1" applyFont="1" applyNumberFormat="1">
      <alignment horizontal="center" readingOrder="0" shrinkToFit="0" vertical="center" wrapText="0"/>
    </xf>
    <xf borderId="4" fillId="15" fontId="10" numFmtId="166" xfId="0" applyAlignment="1" applyBorder="1" applyFont="1" applyNumberForma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/>
    </xf>
    <xf borderId="4" fillId="0" fontId="13" numFmtId="166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4" fillId="17" fontId="5" numFmtId="0" xfId="0" applyAlignment="1" applyBorder="1" applyFill="1" applyFont="1">
      <alignment horizontal="center" readingOrder="0" shrinkToFit="0" wrapText="0"/>
    </xf>
    <xf borderId="4" fillId="17" fontId="5" numFmtId="0" xfId="0" applyAlignment="1" applyBorder="1" applyFont="1">
      <alignment readingOrder="0" shrinkToFit="0" wrapText="0"/>
    </xf>
    <xf borderId="4" fillId="17" fontId="5" numFmtId="164" xfId="0" applyAlignment="1" applyBorder="1" applyFont="1" applyNumberFormat="1">
      <alignment horizontal="center" readingOrder="0" shrinkToFit="0" wrapText="0"/>
    </xf>
    <xf borderId="4" fillId="8" fontId="5" numFmtId="0" xfId="0" applyAlignment="1" applyBorder="1" applyFont="1">
      <alignment horizontal="center" readingOrder="0" shrinkToFit="0" wrapText="0"/>
    </xf>
    <xf borderId="4" fillId="8" fontId="5" numFmtId="0" xfId="0" applyAlignment="1" applyBorder="1" applyFont="1">
      <alignment readingOrder="0" shrinkToFit="0" wrapText="0"/>
    </xf>
    <xf borderId="4" fillId="8" fontId="5" numFmtId="165" xfId="0" applyAlignment="1" applyBorder="1" applyFont="1" applyNumberFormat="1">
      <alignment horizontal="center" readingOrder="0" shrinkToFit="0" wrapText="0"/>
    </xf>
    <xf borderId="4" fillId="17" fontId="5" numFmtId="165" xfId="0" applyAlignment="1" applyBorder="1" applyFont="1" applyNumberFormat="1">
      <alignment horizontal="center" readingOrder="0" shrinkToFit="0" wrapText="0"/>
    </xf>
    <xf borderId="4" fillId="14" fontId="4" numFmtId="0" xfId="0" applyAlignment="1" applyBorder="1" applyFont="1">
      <alignment horizontal="center" readingOrder="0" shrinkToFit="0" wrapText="0"/>
    </xf>
    <xf borderId="4" fillId="14" fontId="4" numFmtId="0" xfId="0" applyAlignment="1" applyBorder="1" applyFont="1">
      <alignment readingOrder="0" shrinkToFit="0" wrapText="0"/>
    </xf>
    <xf borderId="4" fillId="14" fontId="4" numFmtId="164" xfId="0" applyAlignment="1" applyBorder="1" applyFont="1" applyNumberFormat="1">
      <alignment horizontal="center" readingOrder="0" shrinkToFit="0" wrapText="0"/>
    </xf>
    <xf borderId="4" fillId="14" fontId="4" numFmtId="165" xfId="0" applyAlignment="1" applyBorder="1" applyFont="1" applyNumberFormat="1">
      <alignment horizontal="center" readingOrder="0" shrinkToFit="0" wrapText="0"/>
    </xf>
    <xf borderId="6" fillId="14" fontId="4" numFmtId="0" xfId="0" applyAlignment="1" applyBorder="1" applyFont="1">
      <alignment readingOrder="0" shrinkToFit="0" wrapText="0"/>
    </xf>
    <xf borderId="6" fillId="14" fontId="4" numFmtId="0" xfId="0" applyAlignment="1" applyBorder="1" applyFont="1">
      <alignment horizontal="center" readingOrder="0" shrinkToFit="0" wrapText="0"/>
    </xf>
    <xf borderId="6" fillId="14" fontId="4" numFmtId="165" xfId="0" applyAlignment="1" applyBorder="1" applyFont="1" applyNumberFormat="1">
      <alignment horizontal="center" readingOrder="0" shrinkToFit="0" wrapText="0"/>
    </xf>
    <xf borderId="4" fillId="15" fontId="4" numFmtId="0" xfId="0" applyAlignment="1" applyBorder="1" applyFont="1">
      <alignment horizontal="center" readingOrder="0" shrinkToFit="0" wrapText="0"/>
    </xf>
    <xf borderId="5" fillId="15" fontId="4" numFmtId="0" xfId="0" applyAlignment="1" applyBorder="1" applyFont="1">
      <alignment readingOrder="0" shrinkToFit="0" wrapText="0"/>
    </xf>
    <xf borderId="5" fillId="15" fontId="4" numFmtId="0" xfId="0" applyAlignment="1" applyBorder="1" applyFont="1">
      <alignment horizontal="center" readingOrder="0" shrinkToFit="0" wrapText="0"/>
    </xf>
    <xf borderId="5" fillId="15" fontId="4" numFmtId="165" xfId="0" applyAlignment="1" applyBorder="1" applyFont="1" applyNumberFormat="1">
      <alignment horizontal="center" readingOrder="0" shrinkToFit="0" wrapText="0"/>
    </xf>
    <xf borderId="5" fillId="15" fontId="4" numFmtId="164" xfId="0" applyAlignment="1" applyBorder="1" applyFont="1" applyNumberFormat="1">
      <alignment horizontal="center" readingOrder="0" shrinkToFit="0" wrapText="0"/>
    </xf>
    <xf borderId="1" fillId="18" fontId="4" numFmtId="0" xfId="0" applyAlignment="1" applyBorder="1" applyFill="1" applyFont="1">
      <alignment horizontal="center" readingOrder="0" shrinkToFit="0" wrapText="0"/>
    </xf>
    <xf borderId="4" fillId="18" fontId="8" numFmtId="0" xfId="0" applyAlignment="1" applyBorder="1" applyFont="1">
      <alignment horizontal="center" readingOrder="0" shrinkToFit="0" wrapText="0"/>
    </xf>
    <xf borderId="1" fillId="19" fontId="14" numFmtId="0" xfId="0" applyAlignment="1" applyBorder="1" applyFill="1" applyFont="1">
      <alignment horizontal="center"/>
    </xf>
    <xf borderId="1" fillId="20" fontId="14" numFmtId="0" xfId="0" applyAlignment="1" applyBorder="1" applyFill="1" applyFont="1">
      <alignment horizontal="center"/>
    </xf>
    <xf borderId="4" fillId="21" fontId="14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horizontal="center"/>
    </xf>
    <xf borderId="4" fillId="0" fontId="15" numFmtId="169" xfId="0" applyAlignment="1" applyBorder="1" applyFont="1" applyNumberFormat="1">
      <alignment horizontal="center"/>
    </xf>
    <xf borderId="4" fillId="2" fontId="14" numFmtId="170" xfId="0" applyAlignment="1" applyBorder="1" applyFont="1" applyNumberFormat="1">
      <alignment horizontal="center"/>
    </xf>
    <xf borderId="4" fillId="22" fontId="16" numFmtId="10" xfId="0" applyAlignment="1" applyBorder="1" applyFill="1" applyFont="1" applyNumberFormat="1">
      <alignment horizontal="center"/>
    </xf>
    <xf borderId="4" fillId="0" fontId="15" numFmtId="170" xfId="0" applyAlignment="1" applyBorder="1" applyFont="1" applyNumberFormat="1">
      <alignment horizontal="center"/>
    </xf>
    <xf borderId="4" fillId="22" fontId="15" numFmtId="0" xfId="0" applyAlignment="1" applyBorder="1" applyFont="1">
      <alignment horizontal="center"/>
    </xf>
    <xf borderId="4" fillId="22" fontId="15" numFmtId="169" xfId="0" applyAlignment="1" applyBorder="1" applyFont="1" applyNumberFormat="1">
      <alignment horizontal="center"/>
    </xf>
    <xf borderId="4" fillId="22" fontId="15" numFmtId="170" xfId="0" applyAlignment="1" applyBorder="1" applyFont="1" applyNumberFormat="1">
      <alignment horizontal="center"/>
    </xf>
    <xf borderId="4" fillId="22" fontId="14" numFmtId="170" xfId="0" applyAlignment="1" applyBorder="1" applyFont="1" applyNumberFormat="1">
      <alignment horizontal="center"/>
    </xf>
    <xf borderId="4" fillId="0" fontId="17" numFmtId="0" xfId="0" applyAlignment="1" applyBorder="1" applyFont="1">
      <alignment horizontal="center"/>
    </xf>
    <xf borderId="4" fillId="0" fontId="17" numFmtId="171" xfId="0" applyAlignment="1" applyBorder="1" applyFont="1" applyNumberFormat="1">
      <alignment horizontal="center"/>
    </xf>
    <xf borderId="4" fillId="23" fontId="17" numFmtId="0" xfId="0" applyAlignment="1" applyBorder="1" applyFill="1" applyFont="1">
      <alignment horizontal="center"/>
    </xf>
    <xf borderId="4" fillId="23" fontId="17" numFmtId="171" xfId="0" applyAlignment="1" applyBorder="1" applyFont="1" applyNumberFormat="1">
      <alignment horizontal="center"/>
    </xf>
    <xf borderId="7" fillId="22" fontId="15" numFmtId="170" xfId="0" applyAlignment="1" applyBorder="1" applyFont="1" applyNumberFormat="1">
      <alignment horizontal="center"/>
    </xf>
    <xf borderId="3" fillId="22" fontId="15" numFmtId="170" xfId="0" applyAlignment="1" applyBorder="1" applyFont="1" applyNumberFormat="1">
      <alignment horizontal="center"/>
    </xf>
    <xf borderId="3" fillId="0" fontId="15" numFmtId="170" xfId="0" applyAlignment="1" applyBorder="1" applyFont="1" applyNumberFormat="1">
      <alignment horizontal="center"/>
    </xf>
    <xf borderId="4" fillId="20" fontId="14" numFmtId="170" xfId="0" applyAlignment="1" applyBorder="1" applyFont="1" applyNumberFormat="1">
      <alignment horizontal="center"/>
    </xf>
    <xf borderId="4" fillId="20" fontId="14" numFmtId="0" xfId="0" applyAlignment="1" applyBorder="1" applyFont="1">
      <alignment horizontal="center"/>
    </xf>
    <xf borderId="1" fillId="19" fontId="12" numFmtId="0" xfId="0" applyAlignment="1" applyBorder="1" applyFont="1">
      <alignment horizontal="center" readingOrder="0"/>
    </xf>
    <xf borderId="1" fillId="20" fontId="12" numFmtId="0" xfId="0" applyAlignment="1" applyBorder="1" applyFont="1">
      <alignment horizontal="center" readingOrder="0"/>
    </xf>
    <xf borderId="4" fillId="0" fontId="18" numFmtId="171" xfId="0" applyAlignment="1" applyBorder="1" applyFont="1" applyNumberFormat="1">
      <alignment horizontal="center" readingOrder="0"/>
    </xf>
    <xf borderId="4" fillId="0" fontId="19" numFmtId="0" xfId="0" applyAlignment="1" applyBorder="1" applyFont="1">
      <alignment horizontal="center" readingOrder="0"/>
    </xf>
    <xf borderId="4" fillId="0" fontId="17" numFmtId="170" xfId="0" applyAlignment="1" applyBorder="1" applyFont="1" applyNumberFormat="1">
      <alignment horizontal="center"/>
    </xf>
    <xf borderId="4" fillId="16" fontId="14" numFmtId="0" xfId="0" applyAlignment="1" applyBorder="1" applyFont="1">
      <alignment horizontal="center"/>
    </xf>
    <xf borderId="4" fillId="16" fontId="14" numFmtId="169" xfId="0" applyAlignment="1" applyBorder="1" applyFont="1" applyNumberFormat="1">
      <alignment horizontal="center"/>
    </xf>
    <xf borderId="3" fillId="16" fontId="14" numFmtId="170" xfId="0" applyAlignment="1" applyBorder="1" applyFont="1" applyNumberFormat="1">
      <alignment horizontal="center"/>
    </xf>
    <xf borderId="4" fillId="16" fontId="14" numFmtId="170" xfId="0" applyAlignment="1" applyBorder="1" applyFont="1" applyNumberFormat="1">
      <alignment horizontal="center"/>
    </xf>
    <xf borderId="4" fillId="23" fontId="17" numFmtId="170" xfId="0" applyAlignment="1" applyBorder="1" applyFont="1" applyNumberFormat="1">
      <alignment horizontal="center"/>
    </xf>
    <xf borderId="4" fillId="0" fontId="20" numFmtId="0" xfId="0" applyAlignment="1" applyBorder="1" applyFont="1">
      <alignment horizontal="center"/>
    </xf>
    <xf borderId="4" fillId="0" fontId="20" numFmtId="169" xfId="0" applyAlignment="1" applyBorder="1" applyFont="1" applyNumberFormat="1">
      <alignment horizontal="center"/>
    </xf>
    <xf borderId="3" fillId="0" fontId="20" numFmtId="170" xfId="0" applyAlignment="1" applyBorder="1" applyFont="1" applyNumberFormat="1">
      <alignment horizontal="center"/>
    </xf>
    <xf borderId="4" fillId="0" fontId="20" numFmtId="170" xfId="0" applyAlignment="1" applyBorder="1" applyFont="1" applyNumberFormat="1">
      <alignment horizontal="center"/>
    </xf>
    <xf borderId="4" fillId="2" fontId="21" numFmtId="170" xfId="0" applyAlignment="1" applyBorder="1" applyFont="1" applyNumberFormat="1">
      <alignment horizontal="center"/>
    </xf>
    <xf borderId="4" fillId="0" fontId="22" numFmtId="169" xfId="0" applyAlignment="1" applyBorder="1" applyFont="1" applyNumberFormat="1">
      <alignment horizontal="center" readingOrder="0"/>
    </xf>
    <xf borderId="4" fillId="0" fontId="18" numFmtId="0" xfId="0" applyAlignment="1" applyBorder="1" applyFont="1">
      <alignment horizontal="center" readingOrder="0"/>
    </xf>
    <xf borderId="0" fillId="0" fontId="23" numFmtId="172" xfId="0" applyAlignment="1" applyFont="1" applyNumberFormat="1">
      <alignment horizontal="center"/>
    </xf>
    <xf borderId="4" fillId="0" fontId="24" numFmtId="170" xfId="0" applyAlignment="1" applyBorder="1" applyFont="1" applyNumberFormat="1">
      <alignment horizontal="center"/>
    </xf>
    <xf borderId="7" fillId="16" fontId="14" numFmtId="170" xfId="0" applyAlignment="1" applyBorder="1" applyFont="1" applyNumberFormat="1">
      <alignment horizontal="center"/>
    </xf>
    <xf borderId="1" fillId="24" fontId="10" numFmtId="0" xfId="0" applyAlignment="1" applyBorder="1" applyFill="1" applyFont="1">
      <alignment horizontal="center" readingOrder="0" shrinkToFit="0" vertical="bottom" wrapText="0"/>
    </xf>
    <xf borderId="0" fillId="0" fontId="25" numFmtId="0" xfId="0" applyAlignment="1" applyFont="1">
      <alignment shrinkToFit="0" vertical="bottom" wrapText="0"/>
    </xf>
    <xf borderId="1" fillId="25" fontId="10" numFmtId="0" xfId="0" applyAlignment="1" applyBorder="1" applyFill="1" applyFont="1">
      <alignment horizontal="center" readingOrder="0" shrinkToFit="0" vertical="bottom" wrapText="0"/>
    </xf>
    <xf borderId="4" fillId="26" fontId="10" numFmtId="0" xfId="0" applyAlignment="1" applyBorder="1" applyFill="1" applyFont="1">
      <alignment horizontal="center" readingOrder="0" shrinkToFit="0" vertical="center" wrapText="1"/>
    </xf>
    <xf borderId="4" fillId="0" fontId="26" numFmtId="0" xfId="0" applyAlignment="1" applyBorder="1" applyFont="1">
      <alignment horizontal="center" readingOrder="0" shrinkToFit="0" vertical="bottom" wrapText="0"/>
    </xf>
    <xf borderId="4" fillId="0" fontId="26" numFmtId="164" xfId="0" applyAlignment="1" applyBorder="1" applyFont="1" applyNumberFormat="1">
      <alignment horizontal="center" readingOrder="0" shrinkToFit="0" vertical="bottom" wrapText="0"/>
    </xf>
    <xf borderId="4" fillId="7" fontId="10" numFmtId="170" xfId="0" applyAlignment="1" applyBorder="1" applyFont="1" applyNumberFormat="1">
      <alignment horizontal="center" readingOrder="0" shrinkToFit="0" vertical="bottom" wrapText="0"/>
    </xf>
    <xf borderId="4" fillId="4" fontId="27" numFmtId="10" xfId="0" applyAlignment="1" applyBorder="1" applyFont="1" applyNumberFormat="1">
      <alignment horizontal="center" readingOrder="0" shrinkToFit="0" vertical="bottom" wrapText="0"/>
    </xf>
    <xf borderId="4" fillId="0" fontId="26" numFmtId="0" xfId="0" applyAlignment="1" applyBorder="1" applyFont="1">
      <alignment horizontal="center" shrinkToFit="0" vertical="bottom" wrapText="0"/>
    </xf>
    <xf borderId="4" fillId="0" fontId="26" numFmtId="170" xfId="0" applyAlignment="1" applyBorder="1" applyFont="1" applyNumberFormat="1">
      <alignment horizontal="center" readingOrder="0" shrinkToFit="0" vertical="bottom" wrapText="0"/>
    </xf>
    <xf borderId="4" fillId="22" fontId="28" numFmtId="0" xfId="0" applyAlignment="1" applyBorder="1" applyFont="1">
      <alignment horizontal="center" readingOrder="0" shrinkToFit="0" vertical="bottom" wrapText="0"/>
    </xf>
    <xf borderId="4" fillId="22" fontId="28" numFmtId="164" xfId="0" applyAlignment="1" applyBorder="1" applyFont="1" applyNumberFormat="1">
      <alignment horizontal="center" readingOrder="0" shrinkToFit="0" vertical="bottom" wrapText="0"/>
    </xf>
    <xf borderId="8" fillId="22" fontId="28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0" fontId="28" numFmtId="0" xfId="0" applyAlignment="1" applyBorder="1" applyFont="1">
      <alignment horizontal="center" readingOrder="0" shrinkToFit="0" vertical="bottom" wrapText="0"/>
    </xf>
    <xf borderId="4" fillId="0" fontId="28" numFmtId="165" xfId="0" applyAlignment="1" applyBorder="1" applyFont="1" applyNumberFormat="1">
      <alignment horizontal="center" readingOrder="0" shrinkToFit="0" vertical="bottom" wrapText="0"/>
    </xf>
    <xf borderId="8" fillId="0" fontId="28" numFmtId="0" xfId="0" applyAlignment="1" applyBorder="1" applyFont="1">
      <alignment horizontal="center" shrinkToFit="0" vertical="bottom" wrapText="0"/>
    </xf>
    <xf borderId="4" fillId="9" fontId="15" numFmtId="170" xfId="0" applyAlignment="1" applyBorder="1" applyFont="1" applyNumberFormat="1">
      <alignment horizontal="center"/>
    </xf>
    <xf borderId="4" fillId="7" fontId="14" numFmtId="170" xfId="0" applyAlignment="1" applyBorder="1" applyFont="1" applyNumberFormat="1">
      <alignment horizontal="center"/>
    </xf>
    <xf borderId="4" fillId="0" fontId="28" numFmtId="164" xfId="0" applyAlignment="1" applyBorder="1" applyFont="1" applyNumberFormat="1">
      <alignment horizontal="center" readingOrder="0" shrinkToFit="0" vertical="bottom" wrapText="0"/>
    </xf>
    <xf borderId="4" fillId="25" fontId="10" numFmtId="0" xfId="0" applyAlignment="1" applyBorder="1" applyFont="1">
      <alignment horizontal="center" shrinkToFit="0" vertical="bottom" wrapText="0"/>
    </xf>
    <xf borderId="4" fillId="0" fontId="29" numFmtId="0" xfId="0" applyAlignment="1" applyBorder="1" applyFont="1">
      <alignment horizontal="center" readingOrder="0"/>
    </xf>
    <xf borderId="4" fillId="16" fontId="15" numFmtId="0" xfId="0" applyAlignment="1" applyBorder="1" applyFont="1">
      <alignment horizontal="center"/>
    </xf>
    <xf borderId="4" fillId="16" fontId="15" numFmtId="169" xfId="0" applyAlignment="1" applyBorder="1" applyFont="1" applyNumberFormat="1">
      <alignment horizontal="center"/>
    </xf>
    <xf borderId="3" fillId="16" fontId="15" numFmtId="170" xfId="0" applyAlignment="1" applyBorder="1" applyFont="1" applyNumberFormat="1">
      <alignment horizontal="center"/>
    </xf>
    <xf borderId="4" fillId="16" fontId="15" numFmtId="170" xfId="0" applyAlignment="1" applyBorder="1" applyFont="1" applyNumberFormat="1">
      <alignment horizontal="center"/>
    </xf>
    <xf borderId="4" fillId="0" fontId="28" numFmtId="169" xfId="0" applyAlignment="1" applyBorder="1" applyFont="1" applyNumberFormat="1">
      <alignment horizontal="center" readingOrder="0" shrinkToFit="0" vertical="bottom" wrapText="0"/>
    </xf>
    <xf borderId="4" fillId="0" fontId="4" numFmtId="170" xfId="0" applyAlignment="1" applyBorder="1" applyFont="1" applyNumberFormat="1">
      <alignment horizontal="center" readingOrder="0" shrinkToFit="0" vertical="bottom" wrapText="0"/>
    </xf>
    <xf borderId="4" fillId="23" fontId="4" numFmtId="0" xfId="0" applyAlignment="1" applyBorder="1" applyFont="1">
      <alignment horizontal="center" readingOrder="0" shrinkToFit="0" vertical="bottom" wrapText="0"/>
    </xf>
    <xf borderId="4" fillId="23" fontId="4" numFmtId="170" xfId="0" applyAlignment="1" applyBorder="1" applyFont="1" applyNumberFormat="1">
      <alignment horizontal="center" readingOrder="0" shrinkToFit="0" vertical="bottom" wrapText="0"/>
    </xf>
    <xf borderId="4" fillId="22" fontId="22" numFmtId="16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35</xdr:row>
      <xdr:rowOff>-171450</xdr:rowOff>
    </xdr:from>
    <xdr:ext cx="15373350" cy="9058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35.5"/>
    <col customWidth="1" min="4" max="4" width="15.0"/>
    <col customWidth="1" min="5" max="5" width="15.13"/>
    <col customWidth="1" min="6" max="6" width="14.75"/>
    <col customWidth="1" min="7" max="7" width="14.88"/>
    <col customWidth="1" min="8" max="8" width="14.25"/>
    <col customWidth="1" min="9" max="9" width="14.63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0.5" customHeight="1">
      <c r="A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8" t="s">
        <v>6</v>
      </c>
      <c r="G3" s="8" t="s">
        <v>7</v>
      </c>
      <c r="H3" s="9" t="s">
        <v>8</v>
      </c>
      <c r="I3" s="8" t="s">
        <v>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>
        <v>1.0</v>
      </c>
      <c r="B4" s="11" t="s">
        <v>10</v>
      </c>
      <c r="C4" s="12" t="s">
        <v>11</v>
      </c>
      <c r="D4" s="13">
        <v>45625.0</v>
      </c>
      <c r="E4" s="14" t="s">
        <v>12</v>
      </c>
      <c r="F4" s="15" t="s">
        <v>13</v>
      </c>
      <c r="G4" s="15" t="s">
        <v>14</v>
      </c>
      <c r="H4" s="10" t="s">
        <v>15</v>
      </c>
      <c r="I4" s="15" t="s">
        <v>16</v>
      </c>
    </row>
    <row r="5">
      <c r="A5" s="16">
        <v>2.0</v>
      </c>
      <c r="B5" s="17" t="s">
        <v>17</v>
      </c>
      <c r="C5" s="18" t="s">
        <v>18</v>
      </c>
      <c r="D5" s="19">
        <v>46081.0</v>
      </c>
      <c r="E5" s="20" t="s">
        <v>19</v>
      </c>
      <c r="F5" s="21" t="s">
        <v>20</v>
      </c>
      <c r="G5" s="21" t="s">
        <v>21</v>
      </c>
      <c r="H5" s="16" t="s">
        <v>22</v>
      </c>
      <c r="I5" s="21" t="s">
        <v>19</v>
      </c>
    </row>
    <row r="6">
      <c r="A6" s="10">
        <v>3.0</v>
      </c>
      <c r="B6" s="11" t="s">
        <v>23</v>
      </c>
      <c r="C6" s="12" t="s">
        <v>11</v>
      </c>
      <c r="D6" s="22">
        <v>45806.0</v>
      </c>
      <c r="E6" s="14" t="s">
        <v>24</v>
      </c>
      <c r="F6" s="15" t="s">
        <v>25</v>
      </c>
      <c r="G6" s="15" t="s">
        <v>26</v>
      </c>
      <c r="H6" s="10" t="s">
        <v>27</v>
      </c>
      <c r="I6" s="15" t="s">
        <v>28</v>
      </c>
    </row>
    <row r="7">
      <c r="A7" s="23">
        <v>4.0</v>
      </c>
      <c r="B7" s="24" t="s">
        <v>29</v>
      </c>
      <c r="C7" s="25" t="s">
        <v>30</v>
      </c>
      <c r="D7" s="26">
        <v>45045.0</v>
      </c>
      <c r="E7" s="23" t="s">
        <v>31</v>
      </c>
      <c r="F7" s="25" t="s">
        <v>32</v>
      </c>
      <c r="G7" s="25" t="s">
        <v>33</v>
      </c>
      <c r="H7" s="23" t="s">
        <v>34</v>
      </c>
      <c r="I7" s="25" t="s">
        <v>35</v>
      </c>
      <c r="K7" s="27"/>
      <c r="L7" s="27"/>
    </row>
    <row r="8">
      <c r="A8" s="23">
        <v>5.0</v>
      </c>
      <c r="B8" s="24" t="s">
        <v>36</v>
      </c>
      <c r="C8" s="25" t="s">
        <v>18</v>
      </c>
      <c r="D8" s="26">
        <v>45898.0</v>
      </c>
      <c r="E8" s="23" t="s">
        <v>37</v>
      </c>
      <c r="F8" s="25" t="s">
        <v>38</v>
      </c>
      <c r="G8" s="25" t="s">
        <v>39</v>
      </c>
      <c r="H8" s="23" t="s">
        <v>40</v>
      </c>
      <c r="I8" s="25" t="s">
        <v>41</v>
      </c>
      <c r="K8" s="27"/>
      <c r="L8" s="27"/>
    </row>
    <row r="9">
      <c r="A9" s="23">
        <v>6.0</v>
      </c>
      <c r="B9" s="24" t="s">
        <v>42</v>
      </c>
      <c r="C9" s="25" t="s">
        <v>11</v>
      </c>
      <c r="D9" s="26">
        <v>45806.0</v>
      </c>
      <c r="E9" s="23" t="s">
        <v>43</v>
      </c>
      <c r="F9" s="25" t="s">
        <v>44</v>
      </c>
      <c r="G9" s="25" t="s">
        <v>45</v>
      </c>
      <c r="H9" s="23" t="s">
        <v>46</v>
      </c>
      <c r="I9" s="25" t="s">
        <v>47</v>
      </c>
      <c r="K9" s="27"/>
      <c r="L9" s="27"/>
    </row>
    <row r="10">
      <c r="A10" s="28">
        <v>7.0</v>
      </c>
      <c r="B10" s="29" t="s">
        <v>48</v>
      </c>
      <c r="C10" s="30" t="s">
        <v>11</v>
      </c>
      <c r="D10" s="31">
        <v>45867.0</v>
      </c>
      <c r="E10" s="32" t="s">
        <v>49</v>
      </c>
      <c r="F10" s="33" t="s">
        <v>50</v>
      </c>
      <c r="G10" s="33" t="s">
        <v>51</v>
      </c>
      <c r="H10" s="28" t="s">
        <v>52</v>
      </c>
      <c r="I10" s="33" t="s">
        <v>53</v>
      </c>
      <c r="K10" s="27"/>
      <c r="L10" s="27"/>
    </row>
    <row r="11">
      <c r="A11" s="16">
        <v>8.0</v>
      </c>
      <c r="B11" s="17" t="s">
        <v>54</v>
      </c>
      <c r="C11" s="18" t="s">
        <v>18</v>
      </c>
      <c r="D11" s="19">
        <v>46081.0</v>
      </c>
      <c r="E11" s="20" t="s">
        <v>55</v>
      </c>
      <c r="F11" s="21" t="s">
        <v>56</v>
      </c>
      <c r="G11" s="21" t="s">
        <v>57</v>
      </c>
      <c r="H11" s="16" t="s">
        <v>58</v>
      </c>
      <c r="I11" s="21" t="s">
        <v>59</v>
      </c>
      <c r="K11" s="27"/>
      <c r="L11" s="27"/>
    </row>
    <row r="12">
      <c r="A12" s="28">
        <v>9.0</v>
      </c>
      <c r="B12" s="29" t="s">
        <v>60</v>
      </c>
      <c r="C12" s="30" t="s">
        <v>11</v>
      </c>
      <c r="D12" s="31">
        <v>45837.0</v>
      </c>
      <c r="E12" s="32" t="s">
        <v>61</v>
      </c>
      <c r="F12" s="33" t="s">
        <v>62</v>
      </c>
      <c r="G12" s="33" t="s">
        <v>63</v>
      </c>
      <c r="H12" s="28" t="s">
        <v>64</v>
      </c>
      <c r="I12" s="33" t="s">
        <v>65</v>
      </c>
      <c r="K12" s="27"/>
      <c r="L12" s="27"/>
    </row>
    <row r="13">
      <c r="A13" s="34">
        <v>10.0</v>
      </c>
      <c r="B13" s="35" t="s">
        <v>66</v>
      </c>
      <c r="C13" s="36" t="s">
        <v>67</v>
      </c>
      <c r="D13" s="37">
        <v>45959.0</v>
      </c>
      <c r="E13" s="34" t="s">
        <v>68</v>
      </c>
      <c r="F13" s="36" t="s">
        <v>69</v>
      </c>
      <c r="G13" s="36" t="s">
        <v>70</v>
      </c>
      <c r="H13" s="34" t="s">
        <v>71</v>
      </c>
      <c r="I13" s="36" t="s">
        <v>72</v>
      </c>
      <c r="K13" s="27"/>
      <c r="L13" s="27"/>
    </row>
    <row r="14">
      <c r="A14" s="34">
        <v>11.0</v>
      </c>
      <c r="B14" s="35" t="s">
        <v>73</v>
      </c>
      <c r="C14" s="36" t="s">
        <v>11</v>
      </c>
      <c r="D14" s="38">
        <v>45929.0</v>
      </c>
      <c r="E14" s="34" t="s">
        <v>74</v>
      </c>
      <c r="F14" s="36" t="s">
        <v>75</v>
      </c>
      <c r="G14" s="36" t="s">
        <v>76</v>
      </c>
      <c r="H14" s="34" t="s">
        <v>77</v>
      </c>
      <c r="I14" s="36" t="s">
        <v>78</v>
      </c>
      <c r="K14" s="27"/>
      <c r="L14" s="27"/>
    </row>
    <row r="15">
      <c r="A15" s="34" t="s">
        <v>79</v>
      </c>
      <c r="B15" s="35" t="s">
        <v>80</v>
      </c>
      <c r="C15" s="36" t="s">
        <v>81</v>
      </c>
      <c r="D15" s="37">
        <v>46051.0</v>
      </c>
      <c r="E15" s="34" t="s">
        <v>82</v>
      </c>
      <c r="F15" s="36" t="s">
        <v>83</v>
      </c>
      <c r="G15" s="36" t="s">
        <v>84</v>
      </c>
      <c r="H15" s="34" t="s">
        <v>85</v>
      </c>
      <c r="I15" s="36" t="s">
        <v>86</v>
      </c>
      <c r="K15" s="27"/>
      <c r="L15" s="27"/>
    </row>
    <row r="16">
      <c r="A16" s="10">
        <v>13.0</v>
      </c>
      <c r="B16" s="39" t="s">
        <v>87</v>
      </c>
      <c r="C16" s="15" t="s">
        <v>11</v>
      </c>
      <c r="D16" s="40">
        <v>45716.0</v>
      </c>
      <c r="E16" s="10" t="s">
        <v>88</v>
      </c>
      <c r="F16" s="15" t="s">
        <v>89</v>
      </c>
      <c r="G16" s="15" t="s">
        <v>90</v>
      </c>
      <c r="H16" s="10" t="s">
        <v>91</v>
      </c>
      <c r="I16" s="15" t="s">
        <v>92</v>
      </c>
    </row>
    <row r="17">
      <c r="A17" s="10">
        <v>14.0</v>
      </c>
      <c r="B17" s="39" t="s">
        <v>93</v>
      </c>
      <c r="C17" s="15" t="s">
        <v>11</v>
      </c>
      <c r="D17" s="41">
        <v>45259.0</v>
      </c>
      <c r="E17" s="10" t="s">
        <v>94</v>
      </c>
      <c r="F17" s="15" t="s">
        <v>95</v>
      </c>
      <c r="G17" s="15" t="s">
        <v>96</v>
      </c>
      <c r="H17" s="10" t="s">
        <v>97</v>
      </c>
      <c r="I17" s="15" t="s">
        <v>98</v>
      </c>
    </row>
    <row r="18">
      <c r="A18" s="10">
        <v>15.0</v>
      </c>
      <c r="B18" s="39" t="s">
        <v>99</v>
      </c>
      <c r="C18" s="15" t="s">
        <v>100</v>
      </c>
      <c r="D18" s="41">
        <v>45837.0</v>
      </c>
      <c r="E18" s="10" t="s">
        <v>101</v>
      </c>
      <c r="F18" s="15" t="s">
        <v>102</v>
      </c>
      <c r="G18" s="15" t="s">
        <v>103</v>
      </c>
      <c r="H18" s="10" t="s">
        <v>104</v>
      </c>
      <c r="I18" s="15" t="s">
        <v>105</v>
      </c>
    </row>
    <row r="19">
      <c r="A19" s="16">
        <v>16.0</v>
      </c>
      <c r="B19" s="17" t="s">
        <v>106</v>
      </c>
      <c r="C19" s="18" t="s">
        <v>18</v>
      </c>
      <c r="D19" s="19">
        <v>46081.0</v>
      </c>
      <c r="E19" s="20" t="s">
        <v>107</v>
      </c>
      <c r="F19" s="21" t="s">
        <v>108</v>
      </c>
      <c r="G19" s="21" t="s">
        <v>109</v>
      </c>
      <c r="H19" s="16" t="s">
        <v>110</v>
      </c>
      <c r="I19" s="21" t="s">
        <v>111</v>
      </c>
    </row>
    <row r="20">
      <c r="A20" s="42" t="s">
        <v>112</v>
      </c>
      <c r="B20" s="43" t="s">
        <v>113</v>
      </c>
      <c r="C20" s="44" t="s">
        <v>11</v>
      </c>
      <c r="D20" s="45">
        <v>46051.0</v>
      </c>
      <c r="E20" s="42" t="s">
        <v>114</v>
      </c>
      <c r="F20" s="44" t="s">
        <v>115</v>
      </c>
      <c r="G20" s="44" t="s">
        <v>116</v>
      </c>
      <c r="H20" s="42" t="s">
        <v>117</v>
      </c>
      <c r="I20" s="44" t="s">
        <v>118</v>
      </c>
    </row>
    <row r="21">
      <c r="A21" s="42">
        <v>18.0</v>
      </c>
      <c r="B21" s="43" t="s">
        <v>119</v>
      </c>
      <c r="C21" s="44" t="s">
        <v>30</v>
      </c>
      <c r="D21" s="45">
        <v>45502.0</v>
      </c>
      <c r="E21" s="42" t="s">
        <v>120</v>
      </c>
      <c r="F21" s="44" t="s">
        <v>121</v>
      </c>
      <c r="G21" s="44" t="s">
        <v>122</v>
      </c>
      <c r="H21" s="42" t="s">
        <v>123</v>
      </c>
      <c r="I21" s="44" t="s">
        <v>124</v>
      </c>
    </row>
    <row r="22">
      <c r="A22" s="34">
        <v>19.0</v>
      </c>
      <c r="B22" s="35" t="s">
        <v>125</v>
      </c>
      <c r="C22" s="36" t="s">
        <v>18</v>
      </c>
      <c r="D22" s="37">
        <v>45716.0</v>
      </c>
      <c r="E22" s="34" t="s">
        <v>126</v>
      </c>
      <c r="F22" s="36" t="s">
        <v>127</v>
      </c>
      <c r="G22" s="36" t="s">
        <v>128</v>
      </c>
      <c r="H22" s="34" t="s">
        <v>129</v>
      </c>
      <c r="I22" s="36" t="s">
        <v>130</v>
      </c>
    </row>
    <row r="23">
      <c r="A23" s="34">
        <v>20.0</v>
      </c>
      <c r="B23" s="35" t="s">
        <v>131</v>
      </c>
      <c r="C23" s="36" t="s">
        <v>11</v>
      </c>
      <c r="D23" s="37">
        <v>45898.0</v>
      </c>
      <c r="E23" s="34" t="s">
        <v>132</v>
      </c>
      <c r="F23" s="36" t="s">
        <v>133</v>
      </c>
      <c r="G23" s="36" t="s">
        <v>134</v>
      </c>
      <c r="H23" s="34" t="s">
        <v>135</v>
      </c>
      <c r="I23" s="36" t="s">
        <v>136</v>
      </c>
    </row>
    <row r="24">
      <c r="A24" s="34">
        <v>21.0</v>
      </c>
      <c r="B24" s="35" t="s">
        <v>137</v>
      </c>
      <c r="C24" s="36" t="s">
        <v>18</v>
      </c>
      <c r="D24" s="37">
        <v>45776.0</v>
      </c>
      <c r="E24" s="34" t="s">
        <v>138</v>
      </c>
      <c r="F24" s="36" t="s">
        <v>139</v>
      </c>
      <c r="G24" s="36" t="s">
        <v>140</v>
      </c>
      <c r="H24" s="34" t="s">
        <v>141</v>
      </c>
      <c r="I24" s="36" t="s">
        <v>142</v>
      </c>
    </row>
    <row r="25">
      <c r="A25" s="10">
        <v>22.0</v>
      </c>
      <c r="B25" s="39" t="s">
        <v>143</v>
      </c>
      <c r="C25" s="15" t="s">
        <v>18</v>
      </c>
      <c r="D25" s="41">
        <v>45958.0</v>
      </c>
      <c r="E25" s="10" t="s">
        <v>144</v>
      </c>
      <c r="F25" s="15" t="s">
        <v>145</v>
      </c>
      <c r="G25" s="15" t="s">
        <v>146</v>
      </c>
      <c r="H25" s="10" t="s">
        <v>147</v>
      </c>
      <c r="I25" s="15" t="s">
        <v>148</v>
      </c>
    </row>
    <row r="26">
      <c r="A26" s="10" t="s">
        <v>149</v>
      </c>
      <c r="B26" s="39" t="s">
        <v>150</v>
      </c>
      <c r="C26" s="15" t="s">
        <v>11</v>
      </c>
      <c r="D26" s="41">
        <v>46051.0</v>
      </c>
      <c r="E26" s="10" t="s">
        <v>151</v>
      </c>
      <c r="F26" s="15" t="s">
        <v>152</v>
      </c>
      <c r="G26" s="15" t="s">
        <v>153</v>
      </c>
      <c r="H26" s="10" t="s">
        <v>154</v>
      </c>
      <c r="I26" s="15" t="s">
        <v>155</v>
      </c>
    </row>
    <row r="27">
      <c r="A27" s="10" t="s">
        <v>156</v>
      </c>
      <c r="B27" s="39" t="s">
        <v>157</v>
      </c>
      <c r="C27" s="15" t="s">
        <v>18</v>
      </c>
      <c r="D27" s="41">
        <v>46020.0</v>
      </c>
      <c r="E27" s="10" t="s">
        <v>158</v>
      </c>
      <c r="F27" s="15" t="s">
        <v>159</v>
      </c>
      <c r="G27" s="15" t="s">
        <v>160</v>
      </c>
      <c r="H27" s="10" t="s">
        <v>161</v>
      </c>
      <c r="I27" s="15" t="s">
        <v>162</v>
      </c>
    </row>
    <row r="28">
      <c r="A28" s="23">
        <v>25.0</v>
      </c>
      <c r="B28" s="24" t="s">
        <v>163</v>
      </c>
      <c r="C28" s="25" t="s">
        <v>11</v>
      </c>
      <c r="D28" s="26">
        <v>45837.0</v>
      </c>
      <c r="E28" s="23" t="s">
        <v>164</v>
      </c>
      <c r="F28" s="25" t="s">
        <v>165</v>
      </c>
      <c r="G28" s="25" t="s">
        <v>166</v>
      </c>
      <c r="H28" s="23" t="s">
        <v>167</v>
      </c>
      <c r="I28" s="25" t="s">
        <v>168</v>
      </c>
    </row>
    <row r="29">
      <c r="A29" s="23" t="s">
        <v>169</v>
      </c>
      <c r="B29" s="24" t="s">
        <v>170</v>
      </c>
      <c r="C29" s="25" t="s">
        <v>67</v>
      </c>
      <c r="D29" s="26">
        <v>45990.0</v>
      </c>
      <c r="E29" s="23" t="s">
        <v>171</v>
      </c>
      <c r="F29" s="25" t="s">
        <v>172</v>
      </c>
      <c r="G29" s="25" t="s">
        <v>173</v>
      </c>
      <c r="H29" s="23" t="s">
        <v>174</v>
      </c>
      <c r="I29" s="25" t="s">
        <v>175</v>
      </c>
    </row>
    <row r="30">
      <c r="A30" s="23">
        <v>27.0</v>
      </c>
      <c r="B30" s="24" t="s">
        <v>176</v>
      </c>
      <c r="C30" s="25" t="s">
        <v>11</v>
      </c>
      <c r="D30" s="26">
        <v>45928.0</v>
      </c>
      <c r="E30" s="23" t="s">
        <v>177</v>
      </c>
      <c r="F30" s="25" t="s">
        <v>178</v>
      </c>
      <c r="G30" s="25" t="s">
        <v>179</v>
      </c>
      <c r="H30" s="23" t="s">
        <v>180</v>
      </c>
      <c r="I30" s="25" t="s">
        <v>181</v>
      </c>
    </row>
    <row r="31">
      <c r="A31" s="42">
        <v>28.0</v>
      </c>
      <c r="B31" s="46" t="s">
        <v>182</v>
      </c>
      <c r="C31" s="47" t="s">
        <v>11</v>
      </c>
      <c r="D31" s="48">
        <v>45806.0</v>
      </c>
      <c r="E31" s="49" t="s">
        <v>183</v>
      </c>
      <c r="F31" s="44" t="s">
        <v>184</v>
      </c>
      <c r="G31" s="44" t="s">
        <v>185</v>
      </c>
      <c r="H31" s="42" t="s">
        <v>186</v>
      </c>
      <c r="I31" s="44" t="s">
        <v>187</v>
      </c>
    </row>
    <row r="32">
      <c r="A32" s="42">
        <v>29.0</v>
      </c>
      <c r="B32" s="46" t="s">
        <v>188</v>
      </c>
      <c r="C32" s="47" t="s">
        <v>11</v>
      </c>
      <c r="D32" s="48">
        <v>45928.0</v>
      </c>
      <c r="E32" s="49" t="s">
        <v>189</v>
      </c>
      <c r="F32" s="44" t="s">
        <v>190</v>
      </c>
      <c r="G32" s="44" t="s">
        <v>191</v>
      </c>
      <c r="H32" s="42" t="s">
        <v>192</v>
      </c>
      <c r="I32" s="44" t="s">
        <v>193</v>
      </c>
    </row>
    <row r="33">
      <c r="A33" s="16">
        <v>30.0</v>
      </c>
      <c r="B33" s="17" t="s">
        <v>194</v>
      </c>
      <c r="C33" s="18" t="s">
        <v>67</v>
      </c>
      <c r="D33" s="19">
        <v>45686.0</v>
      </c>
      <c r="E33" s="20" t="s">
        <v>195</v>
      </c>
      <c r="F33" s="21" t="s">
        <v>196</v>
      </c>
      <c r="G33" s="21" t="s">
        <v>197</v>
      </c>
      <c r="H33" s="16" t="s">
        <v>198</v>
      </c>
      <c r="I33" s="21" t="s">
        <v>199</v>
      </c>
    </row>
    <row r="34">
      <c r="A34" s="50" t="s">
        <v>200</v>
      </c>
      <c r="B34" s="2"/>
      <c r="C34" s="2"/>
      <c r="D34" s="3"/>
      <c r="E34" s="51" t="s">
        <v>201</v>
      </c>
      <c r="F34" s="51" t="s">
        <v>202</v>
      </c>
      <c r="G34" s="51" t="s">
        <v>203</v>
      </c>
      <c r="H34" s="51" t="s">
        <v>204</v>
      </c>
      <c r="I34" s="51" t="s">
        <v>205</v>
      </c>
      <c r="J34" s="52"/>
    </row>
    <row r="35">
      <c r="B35" s="53"/>
      <c r="J35" s="54"/>
    </row>
    <row r="36">
      <c r="B36" s="53"/>
    </row>
    <row r="37">
      <c r="B37" s="53"/>
    </row>
    <row r="38">
      <c r="B38" s="53"/>
    </row>
    <row r="39">
      <c r="B39" s="53"/>
    </row>
    <row r="40">
      <c r="B40" s="53"/>
    </row>
    <row r="41">
      <c r="B41" s="53"/>
    </row>
    <row r="42">
      <c r="B42" s="53"/>
    </row>
    <row r="43">
      <c r="B43" s="53"/>
    </row>
    <row r="44">
      <c r="B44" s="53"/>
    </row>
    <row r="45">
      <c r="B45" s="53"/>
    </row>
    <row r="46">
      <c r="B46" s="53"/>
    </row>
    <row r="47">
      <c r="B47" s="53"/>
    </row>
    <row r="48">
      <c r="B48" s="53"/>
    </row>
    <row r="49">
      <c r="B49" s="53"/>
    </row>
    <row r="50">
      <c r="B50" s="53"/>
    </row>
    <row r="51">
      <c r="B51" s="53"/>
    </row>
    <row r="52">
      <c r="B52" s="53"/>
    </row>
    <row r="53">
      <c r="B53" s="53"/>
    </row>
    <row r="54">
      <c r="B54" s="53"/>
    </row>
    <row r="55">
      <c r="B55" s="53"/>
    </row>
    <row r="56">
      <c r="B56" s="53"/>
    </row>
    <row r="57">
      <c r="B57" s="53"/>
    </row>
    <row r="58">
      <c r="B58" s="53"/>
    </row>
    <row r="59">
      <c r="B59" s="53"/>
    </row>
    <row r="60">
      <c r="B60" s="53"/>
    </row>
    <row r="61">
      <c r="B61" s="53"/>
    </row>
    <row r="62">
      <c r="B62" s="53"/>
    </row>
    <row r="63">
      <c r="B63" s="53"/>
    </row>
    <row r="64">
      <c r="B64" s="53"/>
    </row>
    <row r="65">
      <c r="B65" s="53"/>
    </row>
    <row r="66">
      <c r="B66" s="53"/>
    </row>
    <row r="67">
      <c r="B67" s="53"/>
    </row>
    <row r="68">
      <c r="B68" s="53"/>
    </row>
    <row r="69">
      <c r="B69" s="53"/>
    </row>
    <row r="70">
      <c r="B70" s="53"/>
    </row>
    <row r="71">
      <c r="B71" s="53"/>
    </row>
    <row r="72">
      <c r="B72" s="53"/>
    </row>
    <row r="73">
      <c r="B73" s="53"/>
    </row>
    <row r="74">
      <c r="B74" s="53"/>
    </row>
    <row r="75">
      <c r="B75" s="53"/>
    </row>
    <row r="76">
      <c r="B76" s="53"/>
    </row>
    <row r="77">
      <c r="B77" s="53"/>
    </row>
    <row r="78">
      <c r="B78" s="53"/>
    </row>
    <row r="79">
      <c r="B79" s="53"/>
    </row>
    <row r="80">
      <c r="B80" s="53"/>
    </row>
    <row r="81">
      <c r="B81" s="53"/>
    </row>
    <row r="82">
      <c r="B82" s="53"/>
    </row>
    <row r="83">
      <c r="B83" s="53"/>
    </row>
    <row r="84">
      <c r="B84" s="53"/>
    </row>
    <row r="85">
      <c r="B85" s="53"/>
    </row>
    <row r="86">
      <c r="B86" s="53"/>
    </row>
    <row r="87">
      <c r="B87" s="53"/>
    </row>
    <row r="88">
      <c r="B88" s="53"/>
    </row>
    <row r="89">
      <c r="B89" s="53"/>
    </row>
    <row r="90">
      <c r="B90" s="53"/>
    </row>
    <row r="91">
      <c r="B91" s="53"/>
    </row>
    <row r="92">
      <c r="B92" s="53"/>
    </row>
    <row r="93">
      <c r="B93" s="53"/>
    </row>
    <row r="94">
      <c r="B94" s="53"/>
    </row>
    <row r="95">
      <c r="B95" s="53"/>
    </row>
    <row r="96">
      <c r="B96" s="53"/>
    </row>
    <row r="97">
      <c r="B97" s="53"/>
    </row>
    <row r="98">
      <c r="B98" s="53"/>
    </row>
    <row r="99">
      <c r="B99" s="53"/>
    </row>
    <row r="100">
      <c r="B100" s="53"/>
    </row>
    <row r="101">
      <c r="B101" s="53"/>
    </row>
    <row r="102">
      <c r="B102" s="53"/>
    </row>
    <row r="103">
      <c r="B103" s="53"/>
    </row>
    <row r="104">
      <c r="B104" s="53"/>
    </row>
    <row r="105">
      <c r="B105" s="53"/>
    </row>
    <row r="106">
      <c r="B106" s="53"/>
    </row>
    <row r="107">
      <c r="B107" s="53"/>
    </row>
    <row r="108">
      <c r="B108" s="53"/>
    </row>
    <row r="109">
      <c r="B109" s="53"/>
    </row>
    <row r="110">
      <c r="B110" s="53"/>
    </row>
    <row r="111">
      <c r="B111" s="53"/>
    </row>
    <row r="112">
      <c r="B112" s="53"/>
    </row>
    <row r="113">
      <c r="B113" s="53"/>
    </row>
    <row r="114">
      <c r="B114" s="53"/>
    </row>
    <row r="115">
      <c r="B115" s="53"/>
    </row>
    <row r="116">
      <c r="B116" s="53"/>
    </row>
    <row r="117">
      <c r="B117" s="53"/>
    </row>
    <row r="118">
      <c r="B118" s="53"/>
    </row>
    <row r="119">
      <c r="B119" s="53"/>
    </row>
    <row r="120">
      <c r="B120" s="53"/>
    </row>
    <row r="121">
      <c r="B121" s="53"/>
    </row>
    <row r="122">
      <c r="B122" s="53"/>
    </row>
    <row r="123">
      <c r="B123" s="53"/>
    </row>
    <row r="124">
      <c r="B124" s="53"/>
    </row>
    <row r="125">
      <c r="B125" s="53"/>
    </row>
    <row r="126">
      <c r="B126" s="53"/>
    </row>
    <row r="127">
      <c r="B127" s="53"/>
    </row>
    <row r="128">
      <c r="B128" s="53"/>
    </row>
    <row r="129">
      <c r="B129" s="53"/>
    </row>
    <row r="130">
      <c r="B130" s="53"/>
    </row>
    <row r="131">
      <c r="B131" s="53"/>
    </row>
    <row r="132">
      <c r="B132" s="53"/>
    </row>
    <row r="133">
      <c r="B133" s="53"/>
    </row>
    <row r="134">
      <c r="B134" s="53"/>
    </row>
    <row r="135">
      <c r="B135" s="53"/>
    </row>
    <row r="136">
      <c r="B136" s="53"/>
    </row>
    <row r="137">
      <c r="B137" s="53"/>
    </row>
    <row r="138">
      <c r="B138" s="53"/>
    </row>
    <row r="139">
      <c r="B139" s="53"/>
    </row>
    <row r="140">
      <c r="B140" s="53"/>
    </row>
    <row r="141">
      <c r="B141" s="53"/>
    </row>
    <row r="142">
      <c r="B142" s="53"/>
    </row>
    <row r="143">
      <c r="B143" s="53"/>
    </row>
    <row r="144">
      <c r="B144" s="53"/>
    </row>
    <row r="145">
      <c r="B145" s="53"/>
    </row>
    <row r="146">
      <c r="B146" s="53"/>
    </row>
    <row r="147">
      <c r="B147" s="53"/>
    </row>
    <row r="148">
      <c r="B148" s="53"/>
    </row>
    <row r="149">
      <c r="B149" s="53"/>
    </row>
    <row r="150">
      <c r="B150" s="53"/>
    </row>
    <row r="151">
      <c r="B151" s="53"/>
    </row>
    <row r="152">
      <c r="B152" s="53"/>
    </row>
    <row r="153">
      <c r="B153" s="53"/>
    </row>
    <row r="154">
      <c r="B154" s="53"/>
    </row>
    <row r="155">
      <c r="B155" s="53"/>
    </row>
    <row r="156">
      <c r="B156" s="53"/>
    </row>
    <row r="157">
      <c r="B157" s="53"/>
    </row>
    <row r="158">
      <c r="B158" s="53"/>
    </row>
    <row r="159">
      <c r="B159" s="53"/>
    </row>
    <row r="160">
      <c r="B160" s="53"/>
    </row>
    <row r="161">
      <c r="B161" s="53"/>
    </row>
    <row r="162">
      <c r="B162" s="53"/>
    </row>
    <row r="163">
      <c r="B163" s="53"/>
    </row>
    <row r="164">
      <c r="B164" s="53"/>
    </row>
    <row r="165">
      <c r="B165" s="53"/>
    </row>
    <row r="166">
      <c r="B166" s="53"/>
    </row>
    <row r="167">
      <c r="B167" s="53"/>
    </row>
    <row r="168">
      <c r="B168" s="53"/>
    </row>
    <row r="169">
      <c r="B169" s="53"/>
    </row>
    <row r="170">
      <c r="B170" s="53"/>
    </row>
    <row r="171">
      <c r="B171" s="53"/>
    </row>
    <row r="172">
      <c r="B172" s="53"/>
    </row>
    <row r="173">
      <c r="B173" s="53"/>
    </row>
    <row r="174">
      <c r="B174" s="53"/>
    </row>
    <row r="175">
      <c r="B175" s="53"/>
    </row>
    <row r="176">
      <c r="B176" s="53"/>
    </row>
    <row r="177">
      <c r="B177" s="53"/>
    </row>
    <row r="178">
      <c r="B178" s="53"/>
    </row>
    <row r="179">
      <c r="B179" s="53"/>
    </row>
    <row r="180">
      <c r="B180" s="53"/>
    </row>
    <row r="181">
      <c r="B181" s="53"/>
    </row>
    <row r="182">
      <c r="B182" s="53"/>
    </row>
    <row r="183">
      <c r="B183" s="53"/>
    </row>
    <row r="184">
      <c r="B184" s="53"/>
    </row>
    <row r="185">
      <c r="B185" s="53"/>
    </row>
    <row r="186">
      <c r="B186" s="53"/>
    </row>
    <row r="187">
      <c r="B187" s="53"/>
    </row>
    <row r="188">
      <c r="B188" s="53"/>
    </row>
    <row r="189">
      <c r="B189" s="53"/>
    </row>
    <row r="190">
      <c r="B190" s="53"/>
    </row>
    <row r="191">
      <c r="B191" s="53"/>
    </row>
    <row r="192">
      <c r="B192" s="53"/>
    </row>
    <row r="193">
      <c r="B193" s="53"/>
    </row>
    <row r="194">
      <c r="B194" s="53"/>
    </row>
    <row r="195">
      <c r="B195" s="53"/>
    </row>
    <row r="196">
      <c r="B196" s="53"/>
    </row>
    <row r="197">
      <c r="B197" s="53"/>
    </row>
    <row r="198">
      <c r="B198" s="53"/>
    </row>
    <row r="199">
      <c r="B199" s="53"/>
    </row>
    <row r="200">
      <c r="B200" s="53"/>
    </row>
    <row r="201">
      <c r="B201" s="53"/>
    </row>
    <row r="202">
      <c r="B202" s="53"/>
    </row>
    <row r="203">
      <c r="B203" s="53"/>
    </row>
    <row r="204">
      <c r="B204" s="53"/>
    </row>
    <row r="205">
      <c r="B205" s="53"/>
    </row>
    <row r="206">
      <c r="B206" s="53"/>
    </row>
    <row r="207">
      <c r="B207" s="53"/>
    </row>
    <row r="208">
      <c r="B208" s="53"/>
    </row>
    <row r="209">
      <c r="B209" s="53"/>
    </row>
    <row r="210">
      <c r="B210" s="53"/>
    </row>
    <row r="211">
      <c r="B211" s="53"/>
    </row>
    <row r="212">
      <c r="B212" s="53"/>
    </row>
    <row r="213">
      <c r="B213" s="53"/>
    </row>
    <row r="214">
      <c r="B214" s="53"/>
    </row>
    <row r="215">
      <c r="B215" s="53"/>
    </row>
    <row r="216">
      <c r="B216" s="53"/>
    </row>
    <row r="217">
      <c r="B217" s="53"/>
    </row>
    <row r="218">
      <c r="B218" s="53"/>
    </row>
    <row r="219">
      <c r="B219" s="53"/>
    </row>
    <row r="220">
      <c r="B220" s="53"/>
    </row>
    <row r="221">
      <c r="B221" s="53"/>
    </row>
    <row r="222">
      <c r="B222" s="53"/>
    </row>
    <row r="223">
      <c r="B223" s="53"/>
    </row>
    <row r="224">
      <c r="B224" s="53"/>
    </row>
    <row r="225">
      <c r="B225" s="53"/>
    </row>
    <row r="226">
      <c r="B226" s="53"/>
    </row>
    <row r="227">
      <c r="B227" s="53"/>
    </row>
    <row r="228">
      <c r="B228" s="53"/>
    </row>
    <row r="229">
      <c r="B229" s="53"/>
    </row>
    <row r="230">
      <c r="B230" s="53"/>
    </row>
    <row r="231">
      <c r="B231" s="53"/>
    </row>
    <row r="232">
      <c r="B232" s="53"/>
    </row>
    <row r="233">
      <c r="B233" s="53"/>
    </row>
    <row r="234">
      <c r="B234" s="53"/>
    </row>
    <row r="235">
      <c r="B235" s="53"/>
    </row>
    <row r="236">
      <c r="B236" s="53"/>
    </row>
    <row r="237">
      <c r="B237" s="53"/>
    </row>
    <row r="238">
      <c r="B238" s="53"/>
    </row>
    <row r="239">
      <c r="B239" s="53"/>
    </row>
    <row r="240">
      <c r="B240" s="53"/>
    </row>
    <row r="241">
      <c r="B241" s="53"/>
    </row>
    <row r="242">
      <c r="B242" s="53"/>
    </row>
    <row r="243">
      <c r="B243" s="53"/>
    </row>
    <row r="244">
      <c r="B244" s="53"/>
    </row>
    <row r="245">
      <c r="B245" s="53"/>
    </row>
    <row r="246">
      <c r="B246" s="53"/>
    </row>
    <row r="247">
      <c r="B247" s="53"/>
    </row>
    <row r="248">
      <c r="B248" s="53"/>
    </row>
    <row r="249">
      <c r="B249" s="53"/>
    </row>
    <row r="250">
      <c r="B250" s="53"/>
    </row>
    <row r="251">
      <c r="B251" s="53"/>
    </row>
    <row r="252">
      <c r="B252" s="53"/>
    </row>
    <row r="253">
      <c r="B253" s="53"/>
    </row>
    <row r="254">
      <c r="B254" s="53"/>
    </row>
    <row r="255">
      <c r="B255" s="53"/>
    </row>
    <row r="256">
      <c r="B256" s="53"/>
    </row>
    <row r="257">
      <c r="B257" s="53"/>
    </row>
    <row r="258">
      <c r="B258" s="53"/>
    </row>
    <row r="259">
      <c r="B259" s="53"/>
    </row>
    <row r="260">
      <c r="B260" s="53"/>
    </row>
    <row r="261">
      <c r="B261" s="53"/>
    </row>
    <row r="262">
      <c r="B262" s="53"/>
    </row>
    <row r="263">
      <c r="B263" s="53"/>
    </row>
    <row r="264">
      <c r="B264" s="53"/>
    </row>
    <row r="265">
      <c r="B265" s="53"/>
    </row>
    <row r="266">
      <c r="B266" s="53"/>
    </row>
    <row r="267">
      <c r="B267" s="53"/>
    </row>
    <row r="268">
      <c r="B268" s="53"/>
    </row>
    <row r="269">
      <c r="B269" s="53"/>
    </row>
    <row r="270">
      <c r="B270" s="53"/>
    </row>
    <row r="271">
      <c r="B271" s="53"/>
    </row>
    <row r="272">
      <c r="B272" s="53"/>
    </row>
    <row r="273">
      <c r="B273" s="53"/>
    </row>
    <row r="274">
      <c r="B274" s="53"/>
    </row>
    <row r="275">
      <c r="B275" s="53"/>
    </row>
    <row r="276">
      <c r="B276" s="53"/>
    </row>
    <row r="277">
      <c r="B277" s="53"/>
    </row>
    <row r="278">
      <c r="B278" s="53"/>
    </row>
    <row r="279">
      <c r="B279" s="53"/>
    </row>
    <row r="280">
      <c r="B280" s="53"/>
    </row>
    <row r="281">
      <c r="B281" s="53"/>
    </row>
    <row r="282">
      <c r="B282" s="53"/>
    </row>
    <row r="283">
      <c r="B283" s="53"/>
    </row>
    <row r="284">
      <c r="B284" s="53"/>
    </row>
    <row r="285">
      <c r="B285" s="53"/>
    </row>
    <row r="286">
      <c r="B286" s="53"/>
    </row>
    <row r="287">
      <c r="B287" s="53"/>
    </row>
    <row r="288">
      <c r="B288" s="53"/>
    </row>
    <row r="289">
      <c r="B289" s="53"/>
    </row>
    <row r="290">
      <c r="B290" s="53"/>
    </row>
    <row r="291">
      <c r="B291" s="53"/>
    </row>
    <row r="292">
      <c r="B292" s="53"/>
    </row>
    <row r="293">
      <c r="B293" s="53"/>
    </row>
    <row r="294">
      <c r="B294" s="53"/>
    </row>
    <row r="295">
      <c r="B295" s="53"/>
    </row>
    <row r="296">
      <c r="B296" s="53"/>
    </row>
    <row r="297">
      <c r="B297" s="53"/>
    </row>
    <row r="298">
      <c r="B298" s="53"/>
    </row>
    <row r="299">
      <c r="B299" s="53"/>
    </row>
    <row r="300">
      <c r="B300" s="53"/>
    </row>
    <row r="301">
      <c r="B301" s="53"/>
    </row>
    <row r="302">
      <c r="B302" s="53"/>
    </row>
    <row r="303">
      <c r="B303" s="53"/>
    </row>
    <row r="304">
      <c r="B304" s="53"/>
    </row>
    <row r="305">
      <c r="B305" s="53"/>
    </row>
    <row r="306">
      <c r="B306" s="53"/>
    </row>
    <row r="307">
      <c r="B307" s="53"/>
    </row>
    <row r="308">
      <c r="B308" s="53"/>
    </row>
    <row r="309">
      <c r="B309" s="53"/>
    </row>
    <row r="310">
      <c r="B310" s="53"/>
    </row>
    <row r="311">
      <c r="B311" s="53"/>
    </row>
    <row r="312">
      <c r="B312" s="53"/>
    </row>
    <row r="313">
      <c r="B313" s="53"/>
    </row>
    <row r="314">
      <c r="B314" s="53"/>
    </row>
    <row r="315">
      <c r="B315" s="53"/>
    </row>
    <row r="316">
      <c r="B316" s="53"/>
    </row>
    <row r="317">
      <c r="B317" s="53"/>
    </row>
    <row r="318">
      <c r="B318" s="53"/>
    </row>
    <row r="319">
      <c r="B319" s="53"/>
    </row>
    <row r="320">
      <c r="B320" s="53"/>
    </row>
    <row r="321">
      <c r="B321" s="53"/>
    </row>
    <row r="322">
      <c r="B322" s="53"/>
    </row>
    <row r="323">
      <c r="B323" s="53"/>
    </row>
    <row r="324">
      <c r="B324" s="53"/>
    </row>
    <row r="325">
      <c r="B325" s="53"/>
    </row>
    <row r="326">
      <c r="B326" s="53"/>
    </row>
    <row r="327">
      <c r="B327" s="53"/>
    </row>
    <row r="328">
      <c r="B328" s="53"/>
    </row>
    <row r="329">
      <c r="B329" s="53"/>
    </row>
    <row r="330">
      <c r="B330" s="53"/>
    </row>
    <row r="331">
      <c r="B331" s="53"/>
    </row>
    <row r="332">
      <c r="B332" s="53"/>
    </row>
    <row r="333">
      <c r="B333" s="53"/>
    </row>
    <row r="334">
      <c r="B334" s="53"/>
    </row>
    <row r="335">
      <c r="B335" s="53"/>
    </row>
    <row r="336">
      <c r="B336" s="53"/>
    </row>
    <row r="337">
      <c r="B337" s="53"/>
    </row>
    <row r="338">
      <c r="B338" s="53"/>
    </row>
    <row r="339">
      <c r="B339" s="53"/>
    </row>
    <row r="340">
      <c r="B340" s="53"/>
    </row>
    <row r="341">
      <c r="B341" s="53"/>
    </row>
    <row r="342">
      <c r="B342" s="53"/>
    </row>
    <row r="343">
      <c r="B343" s="53"/>
    </row>
    <row r="344">
      <c r="B344" s="53"/>
    </row>
    <row r="345">
      <c r="B345" s="53"/>
    </row>
    <row r="346">
      <c r="B346" s="53"/>
    </row>
    <row r="347">
      <c r="B347" s="53"/>
    </row>
    <row r="348">
      <c r="B348" s="53"/>
    </row>
    <row r="349">
      <c r="B349" s="53"/>
    </row>
    <row r="350">
      <c r="B350" s="53"/>
    </row>
    <row r="351">
      <c r="B351" s="53"/>
    </row>
    <row r="352">
      <c r="B352" s="53"/>
    </row>
    <row r="353">
      <c r="B353" s="53"/>
    </row>
    <row r="354">
      <c r="B354" s="53"/>
    </row>
    <row r="355">
      <c r="B355" s="53"/>
    </row>
    <row r="356">
      <c r="B356" s="53"/>
    </row>
    <row r="357">
      <c r="B357" s="53"/>
    </row>
    <row r="358">
      <c r="B358" s="53"/>
    </row>
    <row r="359">
      <c r="B359" s="53"/>
    </row>
    <row r="360">
      <c r="B360" s="53"/>
    </row>
    <row r="361">
      <c r="B361" s="53"/>
    </row>
    <row r="362">
      <c r="B362" s="53"/>
    </row>
    <row r="363">
      <c r="B363" s="53"/>
    </row>
    <row r="364">
      <c r="B364" s="53"/>
    </row>
    <row r="365">
      <c r="B365" s="53"/>
    </row>
    <row r="366">
      <c r="B366" s="53"/>
    </row>
    <row r="367">
      <c r="B367" s="53"/>
    </row>
    <row r="368">
      <c r="B368" s="53"/>
    </row>
    <row r="369">
      <c r="B369" s="53"/>
    </row>
    <row r="370">
      <c r="B370" s="53"/>
    </row>
    <row r="371">
      <c r="B371" s="53"/>
    </row>
    <row r="372">
      <c r="B372" s="53"/>
    </row>
    <row r="373">
      <c r="B373" s="53"/>
    </row>
    <row r="374">
      <c r="B374" s="53"/>
    </row>
    <row r="375">
      <c r="B375" s="53"/>
    </row>
    <row r="376">
      <c r="B376" s="53"/>
    </row>
    <row r="377">
      <c r="B377" s="53"/>
    </row>
    <row r="378">
      <c r="B378" s="53"/>
    </row>
    <row r="379">
      <c r="B379" s="53"/>
    </row>
    <row r="380">
      <c r="B380" s="53"/>
    </row>
    <row r="381">
      <c r="B381" s="53"/>
    </row>
    <row r="382">
      <c r="B382" s="53"/>
    </row>
    <row r="383">
      <c r="B383" s="53"/>
    </row>
    <row r="384">
      <c r="B384" s="53"/>
    </row>
    <row r="385">
      <c r="B385" s="53"/>
    </row>
    <row r="386">
      <c r="B386" s="53"/>
    </row>
    <row r="387">
      <c r="B387" s="53"/>
    </row>
    <row r="388">
      <c r="B388" s="53"/>
    </row>
    <row r="389">
      <c r="B389" s="53"/>
    </row>
    <row r="390">
      <c r="B390" s="53"/>
    </row>
    <row r="391">
      <c r="B391" s="53"/>
    </row>
    <row r="392">
      <c r="B392" s="53"/>
    </row>
    <row r="393">
      <c r="B393" s="53"/>
    </row>
    <row r="394">
      <c r="B394" s="53"/>
    </row>
    <row r="395">
      <c r="B395" s="53"/>
    </row>
    <row r="396">
      <c r="B396" s="53"/>
    </row>
    <row r="397">
      <c r="B397" s="53"/>
    </row>
    <row r="398">
      <c r="B398" s="53"/>
    </row>
    <row r="399">
      <c r="B399" s="53"/>
    </row>
    <row r="400">
      <c r="B400" s="53"/>
    </row>
    <row r="401">
      <c r="B401" s="53"/>
    </row>
    <row r="402">
      <c r="B402" s="53"/>
    </row>
    <row r="403">
      <c r="B403" s="53"/>
    </row>
    <row r="404">
      <c r="B404" s="53"/>
    </row>
    <row r="405">
      <c r="B405" s="53"/>
    </row>
    <row r="406">
      <c r="B406" s="53"/>
    </row>
    <row r="407">
      <c r="B407" s="53"/>
    </row>
    <row r="408">
      <c r="B408" s="53"/>
    </row>
    <row r="409">
      <c r="B409" s="53"/>
    </row>
    <row r="410">
      <c r="B410" s="53"/>
    </row>
    <row r="411">
      <c r="B411" s="53"/>
    </row>
    <row r="412">
      <c r="B412" s="53"/>
    </row>
    <row r="413">
      <c r="B413" s="53"/>
    </row>
    <row r="414">
      <c r="B414" s="53"/>
    </row>
    <row r="415">
      <c r="B415" s="53"/>
    </row>
    <row r="416">
      <c r="B416" s="53"/>
    </row>
    <row r="417">
      <c r="B417" s="53"/>
    </row>
    <row r="418">
      <c r="B418" s="53"/>
    </row>
    <row r="419">
      <c r="B419" s="53"/>
    </row>
    <row r="420">
      <c r="B420" s="53"/>
    </row>
    <row r="421">
      <c r="B421" s="53"/>
    </row>
    <row r="422">
      <c r="B422" s="53"/>
    </row>
    <row r="423">
      <c r="B423" s="53"/>
    </row>
    <row r="424">
      <c r="B424" s="53"/>
    </row>
    <row r="425">
      <c r="B425" s="53"/>
    </row>
    <row r="426">
      <c r="B426" s="53"/>
    </row>
    <row r="427">
      <c r="B427" s="53"/>
    </row>
    <row r="428">
      <c r="B428" s="53"/>
    </row>
    <row r="429">
      <c r="B429" s="53"/>
    </row>
    <row r="430">
      <c r="B430" s="53"/>
    </row>
    <row r="431">
      <c r="B431" s="53"/>
    </row>
    <row r="432">
      <c r="B432" s="53"/>
    </row>
    <row r="433">
      <c r="B433" s="53"/>
    </row>
    <row r="434">
      <c r="B434" s="53"/>
    </row>
    <row r="435">
      <c r="B435" s="53"/>
    </row>
    <row r="436">
      <c r="B436" s="53"/>
    </row>
    <row r="437">
      <c r="B437" s="53"/>
    </row>
    <row r="438">
      <c r="B438" s="53"/>
    </row>
    <row r="439">
      <c r="B439" s="53"/>
    </row>
    <row r="440">
      <c r="B440" s="53"/>
    </row>
    <row r="441">
      <c r="B441" s="53"/>
    </row>
    <row r="442">
      <c r="B442" s="53"/>
    </row>
    <row r="443">
      <c r="B443" s="53"/>
    </row>
    <row r="444">
      <c r="B444" s="53"/>
    </row>
    <row r="445">
      <c r="B445" s="53"/>
    </row>
    <row r="446">
      <c r="B446" s="53"/>
    </row>
    <row r="447">
      <c r="B447" s="53"/>
    </row>
    <row r="448">
      <c r="B448" s="53"/>
    </row>
    <row r="449">
      <c r="B449" s="53"/>
    </row>
    <row r="450">
      <c r="B450" s="53"/>
    </row>
    <row r="451">
      <c r="B451" s="53"/>
    </row>
    <row r="452">
      <c r="B452" s="53"/>
    </row>
    <row r="453">
      <c r="B453" s="53"/>
    </row>
    <row r="454">
      <c r="B454" s="53"/>
    </row>
    <row r="455">
      <c r="B455" s="53"/>
    </row>
    <row r="456">
      <c r="B456" s="53"/>
    </row>
    <row r="457">
      <c r="B457" s="53"/>
    </row>
    <row r="458">
      <c r="B458" s="53"/>
    </row>
    <row r="459">
      <c r="B459" s="53"/>
    </row>
    <row r="460">
      <c r="B460" s="53"/>
    </row>
    <row r="461">
      <c r="B461" s="53"/>
    </row>
    <row r="462">
      <c r="B462" s="53"/>
    </row>
    <row r="463">
      <c r="B463" s="53"/>
    </row>
    <row r="464">
      <c r="B464" s="53"/>
    </row>
    <row r="465">
      <c r="B465" s="53"/>
    </row>
    <row r="466">
      <c r="B466" s="53"/>
    </row>
    <row r="467">
      <c r="B467" s="53"/>
    </row>
    <row r="468">
      <c r="B468" s="53"/>
    </row>
    <row r="469">
      <c r="B469" s="53"/>
    </row>
    <row r="470">
      <c r="B470" s="53"/>
    </row>
    <row r="471">
      <c r="B471" s="53"/>
    </row>
    <row r="472">
      <c r="B472" s="53"/>
    </row>
    <row r="473">
      <c r="B473" s="53"/>
    </row>
    <row r="474">
      <c r="B474" s="53"/>
    </row>
    <row r="475">
      <c r="B475" s="53"/>
    </row>
    <row r="476">
      <c r="B476" s="53"/>
    </row>
    <row r="477">
      <c r="B477" s="53"/>
    </row>
    <row r="478">
      <c r="B478" s="53"/>
    </row>
    <row r="479">
      <c r="B479" s="53"/>
    </row>
    <row r="480">
      <c r="B480" s="53"/>
    </row>
    <row r="481">
      <c r="B481" s="53"/>
    </row>
    <row r="482">
      <c r="B482" s="53"/>
    </row>
    <row r="483">
      <c r="B483" s="53"/>
    </row>
    <row r="484">
      <c r="B484" s="53"/>
    </row>
    <row r="485">
      <c r="B485" s="53"/>
    </row>
    <row r="486">
      <c r="B486" s="53"/>
    </row>
    <row r="487">
      <c r="B487" s="53"/>
    </row>
    <row r="488">
      <c r="B488" s="53"/>
    </row>
    <row r="489">
      <c r="B489" s="53"/>
    </row>
    <row r="490">
      <c r="B490" s="53"/>
    </row>
    <row r="491">
      <c r="B491" s="53"/>
    </row>
    <row r="492">
      <c r="B492" s="53"/>
    </row>
    <row r="493">
      <c r="B493" s="53"/>
    </row>
    <row r="494">
      <c r="B494" s="53"/>
    </row>
    <row r="495">
      <c r="B495" s="53"/>
    </row>
    <row r="496">
      <c r="B496" s="53"/>
    </row>
    <row r="497">
      <c r="B497" s="53"/>
    </row>
    <row r="498">
      <c r="B498" s="53"/>
    </row>
    <row r="499">
      <c r="B499" s="53"/>
    </row>
    <row r="500">
      <c r="B500" s="53"/>
    </row>
    <row r="501">
      <c r="B501" s="53"/>
    </row>
    <row r="502">
      <c r="B502" s="53"/>
    </row>
    <row r="503">
      <c r="B503" s="53"/>
    </row>
    <row r="504">
      <c r="B504" s="53"/>
    </row>
    <row r="505">
      <c r="B505" s="53"/>
    </row>
    <row r="506">
      <c r="B506" s="53"/>
    </row>
    <row r="507">
      <c r="B507" s="53"/>
    </row>
    <row r="508">
      <c r="B508" s="53"/>
    </row>
    <row r="509">
      <c r="B509" s="53"/>
    </row>
    <row r="510">
      <c r="B510" s="53"/>
    </row>
    <row r="511">
      <c r="B511" s="53"/>
    </row>
    <row r="512">
      <c r="B512" s="53"/>
    </row>
    <row r="513">
      <c r="B513" s="53"/>
    </row>
    <row r="514">
      <c r="B514" s="53"/>
    </row>
    <row r="515">
      <c r="B515" s="53"/>
    </row>
    <row r="516">
      <c r="B516" s="53"/>
    </row>
    <row r="517">
      <c r="B517" s="53"/>
    </row>
    <row r="518">
      <c r="B518" s="53"/>
    </row>
    <row r="519">
      <c r="B519" s="53"/>
    </row>
    <row r="520">
      <c r="B520" s="53"/>
    </row>
    <row r="521">
      <c r="B521" s="53"/>
    </row>
    <row r="522">
      <c r="B522" s="53"/>
    </row>
    <row r="523">
      <c r="B523" s="53"/>
    </row>
    <row r="524">
      <c r="B524" s="53"/>
    </row>
    <row r="525">
      <c r="B525" s="53"/>
    </row>
    <row r="526">
      <c r="B526" s="53"/>
    </row>
    <row r="527">
      <c r="B527" s="53"/>
    </row>
    <row r="528">
      <c r="B528" s="53"/>
    </row>
    <row r="529">
      <c r="B529" s="53"/>
    </row>
    <row r="530">
      <c r="B530" s="53"/>
    </row>
    <row r="531">
      <c r="B531" s="53"/>
    </row>
    <row r="532">
      <c r="B532" s="53"/>
    </row>
    <row r="533">
      <c r="B533" s="53"/>
    </row>
    <row r="534">
      <c r="B534" s="53"/>
    </row>
    <row r="535">
      <c r="B535" s="53"/>
    </row>
    <row r="536">
      <c r="B536" s="53"/>
    </row>
    <row r="537">
      <c r="B537" s="53"/>
    </row>
    <row r="538">
      <c r="B538" s="53"/>
    </row>
    <row r="539">
      <c r="B539" s="53"/>
    </row>
    <row r="540">
      <c r="B540" s="53"/>
    </row>
    <row r="541">
      <c r="B541" s="53"/>
    </row>
    <row r="542">
      <c r="B542" s="53"/>
    </row>
    <row r="543">
      <c r="B543" s="53"/>
    </row>
    <row r="544">
      <c r="B544" s="53"/>
    </row>
    <row r="545">
      <c r="B545" s="53"/>
    </row>
    <row r="546">
      <c r="B546" s="53"/>
    </row>
    <row r="547">
      <c r="B547" s="53"/>
    </row>
    <row r="548">
      <c r="B548" s="53"/>
    </row>
    <row r="549">
      <c r="B549" s="53"/>
    </row>
    <row r="550">
      <c r="B550" s="53"/>
    </row>
    <row r="551">
      <c r="B551" s="53"/>
    </row>
    <row r="552">
      <c r="B552" s="53"/>
    </row>
    <row r="553">
      <c r="B553" s="53"/>
    </row>
    <row r="554">
      <c r="B554" s="53"/>
    </row>
    <row r="555">
      <c r="B555" s="53"/>
    </row>
    <row r="556">
      <c r="B556" s="53"/>
    </row>
    <row r="557">
      <c r="B557" s="53"/>
    </row>
    <row r="558">
      <c r="B558" s="53"/>
    </row>
    <row r="559">
      <c r="B559" s="53"/>
    </row>
    <row r="560">
      <c r="B560" s="53"/>
    </row>
    <row r="561">
      <c r="B561" s="53"/>
    </row>
    <row r="562">
      <c r="B562" s="53"/>
    </row>
    <row r="563">
      <c r="B563" s="53"/>
    </row>
    <row r="564">
      <c r="B564" s="53"/>
    </row>
    <row r="565">
      <c r="B565" s="53"/>
    </row>
    <row r="566">
      <c r="B566" s="53"/>
    </row>
    <row r="567">
      <c r="B567" s="53"/>
    </row>
    <row r="568">
      <c r="B568" s="53"/>
    </row>
    <row r="569">
      <c r="B569" s="53"/>
    </row>
    <row r="570">
      <c r="B570" s="53"/>
    </row>
    <row r="571">
      <c r="B571" s="53"/>
    </row>
    <row r="572">
      <c r="B572" s="53"/>
    </row>
    <row r="573">
      <c r="B573" s="53"/>
    </row>
    <row r="574">
      <c r="B574" s="53"/>
    </row>
    <row r="575">
      <c r="B575" s="53"/>
    </row>
    <row r="576">
      <c r="B576" s="53"/>
    </row>
    <row r="577">
      <c r="B577" s="53"/>
    </row>
    <row r="578">
      <c r="B578" s="53"/>
    </row>
    <row r="579">
      <c r="B579" s="53"/>
    </row>
    <row r="580">
      <c r="B580" s="53"/>
    </row>
    <row r="581">
      <c r="B581" s="53"/>
    </row>
    <row r="582">
      <c r="B582" s="53"/>
    </row>
    <row r="583">
      <c r="B583" s="53"/>
    </row>
    <row r="584">
      <c r="B584" s="53"/>
    </row>
    <row r="585">
      <c r="B585" s="53"/>
    </row>
    <row r="586">
      <c r="B586" s="53"/>
    </row>
    <row r="587">
      <c r="B587" s="53"/>
    </row>
    <row r="588">
      <c r="B588" s="53"/>
    </row>
    <row r="589">
      <c r="B589" s="53"/>
    </row>
    <row r="590">
      <c r="B590" s="53"/>
    </row>
    <row r="591">
      <c r="B591" s="53"/>
    </row>
    <row r="592">
      <c r="B592" s="53"/>
    </row>
    <row r="593">
      <c r="B593" s="53"/>
    </row>
    <row r="594">
      <c r="B594" s="53"/>
    </row>
    <row r="595">
      <c r="B595" s="53"/>
    </row>
    <row r="596">
      <c r="B596" s="53"/>
    </row>
    <row r="597">
      <c r="B597" s="53"/>
    </row>
    <row r="598">
      <c r="B598" s="53"/>
    </row>
    <row r="599">
      <c r="B599" s="53"/>
    </row>
    <row r="600">
      <c r="B600" s="53"/>
    </row>
    <row r="601">
      <c r="B601" s="53"/>
    </row>
    <row r="602">
      <c r="B602" s="53"/>
    </row>
    <row r="603">
      <c r="B603" s="53"/>
    </row>
    <row r="604">
      <c r="B604" s="53"/>
    </row>
    <row r="605">
      <c r="B605" s="53"/>
    </row>
    <row r="606">
      <c r="B606" s="53"/>
    </row>
    <row r="607">
      <c r="B607" s="53"/>
    </row>
    <row r="608">
      <c r="B608" s="53"/>
    </row>
    <row r="609">
      <c r="B609" s="53"/>
    </row>
    <row r="610">
      <c r="B610" s="53"/>
    </row>
    <row r="611">
      <c r="B611" s="53"/>
    </row>
    <row r="612">
      <c r="B612" s="53"/>
    </row>
    <row r="613">
      <c r="B613" s="53"/>
    </row>
    <row r="614">
      <c r="B614" s="53"/>
    </row>
    <row r="615">
      <c r="B615" s="53"/>
    </row>
    <row r="616">
      <c r="B616" s="53"/>
    </row>
    <row r="617">
      <c r="B617" s="53"/>
    </row>
    <row r="618">
      <c r="B618" s="53"/>
    </row>
    <row r="619">
      <c r="B619" s="53"/>
    </row>
    <row r="620">
      <c r="B620" s="53"/>
    </row>
    <row r="621">
      <c r="B621" s="53"/>
    </row>
    <row r="622">
      <c r="B622" s="53"/>
    </row>
    <row r="623">
      <c r="B623" s="53"/>
    </row>
    <row r="624">
      <c r="B624" s="53"/>
    </row>
    <row r="625">
      <c r="B625" s="53"/>
    </row>
    <row r="626">
      <c r="B626" s="53"/>
    </row>
    <row r="627">
      <c r="B627" s="53"/>
    </row>
    <row r="628">
      <c r="B628" s="53"/>
    </row>
    <row r="629">
      <c r="B629" s="53"/>
    </row>
    <row r="630">
      <c r="B630" s="53"/>
    </row>
    <row r="631">
      <c r="B631" s="53"/>
    </row>
    <row r="632">
      <c r="B632" s="53"/>
    </row>
    <row r="633">
      <c r="B633" s="53"/>
    </row>
    <row r="634">
      <c r="B634" s="53"/>
    </row>
    <row r="635">
      <c r="B635" s="53"/>
    </row>
    <row r="636">
      <c r="B636" s="53"/>
    </row>
    <row r="637">
      <c r="B637" s="53"/>
    </row>
    <row r="638">
      <c r="B638" s="53"/>
    </row>
    <row r="639">
      <c r="B639" s="53"/>
    </row>
    <row r="640">
      <c r="B640" s="53"/>
    </row>
    <row r="641">
      <c r="B641" s="53"/>
    </row>
    <row r="642">
      <c r="B642" s="53"/>
    </row>
    <row r="643">
      <c r="B643" s="53"/>
    </row>
    <row r="644">
      <c r="B644" s="53"/>
    </row>
    <row r="645">
      <c r="B645" s="53"/>
    </row>
    <row r="646">
      <c r="B646" s="53"/>
    </row>
    <row r="647">
      <c r="B647" s="53"/>
    </row>
    <row r="648">
      <c r="B648" s="53"/>
    </row>
    <row r="649">
      <c r="B649" s="53"/>
    </row>
    <row r="650">
      <c r="B650" s="53"/>
    </row>
    <row r="651">
      <c r="B651" s="53"/>
    </row>
    <row r="652">
      <c r="B652" s="53"/>
    </row>
    <row r="653">
      <c r="B653" s="53"/>
    </row>
    <row r="654">
      <c r="B654" s="53"/>
    </row>
    <row r="655">
      <c r="B655" s="53"/>
    </row>
    <row r="656">
      <c r="B656" s="53"/>
    </row>
    <row r="657">
      <c r="B657" s="53"/>
    </row>
    <row r="658">
      <c r="B658" s="53"/>
    </row>
    <row r="659">
      <c r="B659" s="53"/>
    </row>
    <row r="660">
      <c r="B660" s="53"/>
    </row>
    <row r="661">
      <c r="B661" s="53"/>
    </row>
    <row r="662">
      <c r="B662" s="53"/>
    </row>
    <row r="663">
      <c r="B663" s="53"/>
    </row>
    <row r="664">
      <c r="B664" s="53"/>
    </row>
    <row r="665">
      <c r="B665" s="53"/>
    </row>
    <row r="666">
      <c r="B666" s="53"/>
    </row>
    <row r="667">
      <c r="B667" s="53"/>
    </row>
    <row r="668">
      <c r="B668" s="53"/>
    </row>
    <row r="669">
      <c r="B669" s="53"/>
    </row>
    <row r="670">
      <c r="B670" s="53"/>
    </row>
    <row r="671">
      <c r="B671" s="53"/>
    </row>
    <row r="672">
      <c r="B672" s="53"/>
    </row>
    <row r="673">
      <c r="B673" s="53"/>
    </row>
    <row r="674">
      <c r="B674" s="53"/>
    </row>
    <row r="675">
      <c r="B675" s="53"/>
    </row>
    <row r="676">
      <c r="B676" s="53"/>
    </row>
    <row r="677">
      <c r="B677" s="53"/>
    </row>
    <row r="678">
      <c r="B678" s="53"/>
    </row>
    <row r="679">
      <c r="B679" s="53"/>
    </row>
    <row r="680">
      <c r="B680" s="53"/>
    </row>
    <row r="681">
      <c r="B681" s="53"/>
    </row>
    <row r="682">
      <c r="B682" s="53"/>
    </row>
    <row r="683">
      <c r="B683" s="53"/>
    </row>
    <row r="684">
      <c r="B684" s="53"/>
    </row>
    <row r="685">
      <c r="B685" s="53"/>
    </row>
    <row r="686">
      <c r="B686" s="53"/>
    </row>
    <row r="687">
      <c r="B687" s="53"/>
    </row>
    <row r="688">
      <c r="B688" s="53"/>
    </row>
    <row r="689">
      <c r="B689" s="53"/>
    </row>
    <row r="690">
      <c r="B690" s="53"/>
    </row>
    <row r="691">
      <c r="B691" s="53"/>
    </row>
    <row r="692">
      <c r="B692" s="53"/>
    </row>
    <row r="693">
      <c r="B693" s="53"/>
    </row>
    <row r="694">
      <c r="B694" s="53"/>
    </row>
    <row r="695">
      <c r="B695" s="53"/>
    </row>
    <row r="696">
      <c r="B696" s="53"/>
    </row>
    <row r="697">
      <c r="B697" s="53"/>
    </row>
    <row r="698">
      <c r="B698" s="53"/>
    </row>
    <row r="699">
      <c r="B699" s="53"/>
    </row>
    <row r="700">
      <c r="B700" s="53"/>
    </row>
    <row r="701">
      <c r="B701" s="53"/>
    </row>
    <row r="702">
      <c r="B702" s="53"/>
    </row>
    <row r="703">
      <c r="B703" s="53"/>
    </row>
    <row r="704">
      <c r="B704" s="53"/>
    </row>
    <row r="705">
      <c r="B705" s="53"/>
    </row>
    <row r="706">
      <c r="B706" s="53"/>
    </row>
    <row r="707">
      <c r="B707" s="53"/>
    </row>
    <row r="708">
      <c r="B708" s="53"/>
    </row>
    <row r="709">
      <c r="B709" s="53"/>
    </row>
    <row r="710">
      <c r="B710" s="53"/>
    </row>
    <row r="711">
      <c r="B711" s="53"/>
    </row>
    <row r="712">
      <c r="B712" s="53"/>
    </row>
    <row r="713">
      <c r="B713" s="53"/>
    </row>
    <row r="714">
      <c r="B714" s="53"/>
    </row>
    <row r="715">
      <c r="B715" s="53"/>
    </row>
    <row r="716">
      <c r="B716" s="53"/>
    </row>
    <row r="717">
      <c r="B717" s="53"/>
    </row>
    <row r="718">
      <c r="B718" s="53"/>
    </row>
    <row r="719">
      <c r="B719" s="53"/>
    </row>
    <row r="720">
      <c r="B720" s="53"/>
    </row>
    <row r="721">
      <c r="B721" s="53"/>
    </row>
    <row r="722">
      <c r="B722" s="53"/>
    </row>
    <row r="723">
      <c r="B723" s="53"/>
    </row>
    <row r="724">
      <c r="B724" s="53"/>
    </row>
    <row r="725">
      <c r="B725" s="53"/>
    </row>
    <row r="726">
      <c r="B726" s="53"/>
    </row>
    <row r="727">
      <c r="B727" s="53"/>
    </row>
    <row r="728">
      <c r="B728" s="53"/>
    </row>
    <row r="729">
      <c r="B729" s="53"/>
    </row>
    <row r="730">
      <c r="B730" s="53"/>
    </row>
    <row r="731">
      <c r="B731" s="53"/>
    </row>
    <row r="732">
      <c r="B732" s="53"/>
    </row>
    <row r="733">
      <c r="B733" s="53"/>
    </row>
    <row r="734">
      <c r="B734" s="53"/>
    </row>
    <row r="735">
      <c r="B735" s="53"/>
    </row>
    <row r="736">
      <c r="B736" s="53"/>
    </row>
    <row r="737">
      <c r="B737" s="53"/>
    </row>
    <row r="738">
      <c r="B738" s="53"/>
    </row>
    <row r="739">
      <c r="B739" s="53"/>
    </row>
    <row r="740">
      <c r="B740" s="53"/>
    </row>
    <row r="741">
      <c r="B741" s="53"/>
    </row>
    <row r="742">
      <c r="B742" s="53"/>
    </row>
    <row r="743">
      <c r="B743" s="53"/>
    </row>
    <row r="744">
      <c r="B744" s="53"/>
    </row>
    <row r="745">
      <c r="B745" s="53"/>
    </row>
    <row r="746">
      <c r="B746" s="53"/>
    </row>
    <row r="747">
      <c r="B747" s="53"/>
    </row>
    <row r="748">
      <c r="B748" s="53"/>
    </row>
    <row r="749">
      <c r="B749" s="53"/>
    </row>
    <row r="750">
      <c r="B750" s="53"/>
    </row>
    <row r="751">
      <c r="B751" s="53"/>
    </row>
    <row r="752">
      <c r="B752" s="53"/>
    </row>
    <row r="753">
      <c r="B753" s="53"/>
    </row>
    <row r="754">
      <c r="B754" s="53"/>
    </row>
    <row r="755">
      <c r="B755" s="53"/>
    </row>
    <row r="756">
      <c r="B756" s="53"/>
    </row>
    <row r="757">
      <c r="B757" s="53"/>
    </row>
    <row r="758">
      <c r="B758" s="53"/>
    </row>
    <row r="759">
      <c r="B759" s="53"/>
    </row>
    <row r="760">
      <c r="B760" s="53"/>
    </row>
    <row r="761">
      <c r="B761" s="53"/>
    </row>
    <row r="762">
      <c r="B762" s="53"/>
    </row>
    <row r="763">
      <c r="B763" s="53"/>
    </row>
    <row r="764">
      <c r="B764" s="53"/>
    </row>
    <row r="765">
      <c r="B765" s="53"/>
    </row>
    <row r="766">
      <c r="B766" s="53"/>
    </row>
    <row r="767">
      <c r="B767" s="53"/>
    </row>
    <row r="768">
      <c r="B768" s="53"/>
    </row>
    <row r="769">
      <c r="B769" s="53"/>
    </row>
    <row r="770">
      <c r="B770" s="53"/>
    </row>
    <row r="771">
      <c r="B771" s="53"/>
    </row>
    <row r="772">
      <c r="B772" s="53"/>
    </row>
    <row r="773">
      <c r="B773" s="53"/>
    </row>
    <row r="774">
      <c r="B774" s="53"/>
    </row>
    <row r="775">
      <c r="B775" s="53"/>
    </row>
    <row r="776">
      <c r="B776" s="53"/>
    </row>
    <row r="777">
      <c r="B777" s="53"/>
    </row>
    <row r="778">
      <c r="B778" s="53"/>
    </row>
    <row r="779">
      <c r="B779" s="53"/>
    </row>
    <row r="780">
      <c r="B780" s="53"/>
    </row>
    <row r="781">
      <c r="B781" s="53"/>
    </row>
    <row r="782">
      <c r="B782" s="53"/>
    </row>
    <row r="783">
      <c r="B783" s="53"/>
    </row>
    <row r="784">
      <c r="B784" s="53"/>
    </row>
    <row r="785">
      <c r="B785" s="53"/>
    </row>
    <row r="786">
      <c r="B786" s="53"/>
    </row>
    <row r="787">
      <c r="B787" s="53"/>
    </row>
    <row r="788">
      <c r="B788" s="53"/>
    </row>
    <row r="789">
      <c r="B789" s="53"/>
    </row>
    <row r="790">
      <c r="B790" s="53"/>
    </row>
    <row r="791">
      <c r="B791" s="53"/>
    </row>
    <row r="792">
      <c r="B792" s="53"/>
    </row>
    <row r="793">
      <c r="B793" s="53"/>
    </row>
    <row r="794">
      <c r="B794" s="53"/>
    </row>
    <row r="795">
      <c r="B795" s="53"/>
    </row>
    <row r="796">
      <c r="B796" s="53"/>
    </row>
    <row r="797">
      <c r="B797" s="53"/>
    </row>
    <row r="798">
      <c r="B798" s="53"/>
    </row>
    <row r="799">
      <c r="B799" s="53"/>
    </row>
    <row r="800">
      <c r="B800" s="53"/>
    </row>
    <row r="801">
      <c r="B801" s="53"/>
    </row>
    <row r="802">
      <c r="B802" s="53"/>
    </row>
    <row r="803">
      <c r="B803" s="53"/>
    </row>
    <row r="804">
      <c r="B804" s="53"/>
    </row>
    <row r="805">
      <c r="B805" s="53"/>
    </row>
    <row r="806">
      <c r="B806" s="53"/>
    </row>
    <row r="807">
      <c r="B807" s="53"/>
    </row>
    <row r="808">
      <c r="B808" s="53"/>
    </row>
    <row r="809">
      <c r="B809" s="53"/>
    </row>
    <row r="810">
      <c r="B810" s="53"/>
    </row>
    <row r="811">
      <c r="B811" s="53"/>
    </row>
    <row r="812">
      <c r="B812" s="53"/>
    </row>
    <row r="813">
      <c r="B813" s="53"/>
    </row>
    <row r="814">
      <c r="B814" s="53"/>
    </row>
    <row r="815">
      <c r="B815" s="53"/>
    </row>
    <row r="816">
      <c r="B816" s="53"/>
    </row>
    <row r="817">
      <c r="B817" s="53"/>
    </row>
    <row r="818">
      <c r="B818" s="53"/>
    </row>
    <row r="819">
      <c r="B819" s="53"/>
    </row>
    <row r="820">
      <c r="B820" s="53"/>
    </row>
    <row r="821">
      <c r="B821" s="53"/>
    </row>
    <row r="822">
      <c r="B822" s="53"/>
    </row>
    <row r="823">
      <c r="B823" s="53"/>
    </row>
    <row r="824">
      <c r="B824" s="53"/>
    </row>
    <row r="825">
      <c r="B825" s="53"/>
    </row>
    <row r="826">
      <c r="B826" s="53"/>
    </row>
    <row r="827">
      <c r="B827" s="53"/>
    </row>
    <row r="828">
      <c r="B828" s="53"/>
    </row>
    <row r="829">
      <c r="B829" s="53"/>
    </row>
    <row r="830">
      <c r="B830" s="53"/>
    </row>
    <row r="831">
      <c r="B831" s="53"/>
    </row>
    <row r="832">
      <c r="B832" s="53"/>
    </row>
    <row r="833">
      <c r="B833" s="53"/>
    </row>
    <row r="834">
      <c r="B834" s="53"/>
    </row>
    <row r="835">
      <c r="B835" s="53"/>
    </row>
    <row r="836">
      <c r="B836" s="53"/>
    </row>
    <row r="837">
      <c r="B837" s="53"/>
    </row>
    <row r="838">
      <c r="B838" s="53"/>
    </row>
    <row r="839">
      <c r="B839" s="53"/>
    </row>
    <row r="840">
      <c r="B840" s="53"/>
    </row>
    <row r="841">
      <c r="B841" s="53"/>
    </row>
    <row r="842">
      <c r="B842" s="53"/>
    </row>
    <row r="843">
      <c r="B843" s="53"/>
    </row>
    <row r="844">
      <c r="B844" s="53"/>
    </row>
    <row r="845">
      <c r="B845" s="53"/>
    </row>
    <row r="846">
      <c r="B846" s="53"/>
    </row>
    <row r="847">
      <c r="B847" s="53"/>
    </row>
    <row r="848">
      <c r="B848" s="53"/>
    </row>
    <row r="849">
      <c r="B849" s="53"/>
    </row>
    <row r="850">
      <c r="B850" s="53"/>
    </row>
    <row r="851">
      <c r="B851" s="53"/>
    </row>
    <row r="852">
      <c r="B852" s="53"/>
    </row>
    <row r="853">
      <c r="B853" s="53"/>
    </row>
    <row r="854">
      <c r="B854" s="53"/>
    </row>
    <row r="855">
      <c r="B855" s="53"/>
    </row>
    <row r="856">
      <c r="B856" s="53"/>
    </row>
    <row r="857">
      <c r="B857" s="53"/>
    </row>
    <row r="858">
      <c r="B858" s="53"/>
    </row>
    <row r="859">
      <c r="B859" s="53"/>
    </row>
    <row r="860">
      <c r="B860" s="53"/>
    </row>
    <row r="861">
      <c r="B861" s="53"/>
    </row>
    <row r="862">
      <c r="B862" s="53"/>
    </row>
    <row r="863">
      <c r="B863" s="53"/>
    </row>
    <row r="864">
      <c r="B864" s="53"/>
    </row>
    <row r="865">
      <c r="B865" s="53"/>
    </row>
    <row r="866">
      <c r="B866" s="53"/>
    </row>
    <row r="867">
      <c r="B867" s="53"/>
    </row>
    <row r="868">
      <c r="B868" s="53"/>
    </row>
    <row r="869">
      <c r="B869" s="53"/>
    </row>
    <row r="870">
      <c r="B870" s="53"/>
    </row>
    <row r="871">
      <c r="B871" s="53"/>
    </row>
    <row r="872">
      <c r="B872" s="53"/>
    </row>
    <row r="873">
      <c r="B873" s="53"/>
    </row>
    <row r="874">
      <c r="B874" s="53"/>
    </row>
    <row r="875">
      <c r="B875" s="53"/>
    </row>
    <row r="876">
      <c r="B876" s="53"/>
    </row>
    <row r="877">
      <c r="B877" s="53"/>
    </row>
    <row r="878">
      <c r="B878" s="53"/>
    </row>
    <row r="879">
      <c r="B879" s="53"/>
    </row>
    <row r="880">
      <c r="B880" s="53"/>
    </row>
    <row r="881">
      <c r="B881" s="53"/>
    </row>
    <row r="882">
      <c r="B882" s="53"/>
    </row>
    <row r="883">
      <c r="B883" s="53"/>
    </row>
    <row r="884">
      <c r="B884" s="53"/>
    </row>
    <row r="885">
      <c r="B885" s="53"/>
    </row>
    <row r="886">
      <c r="B886" s="53"/>
    </row>
    <row r="887">
      <c r="B887" s="53"/>
    </row>
    <row r="888">
      <c r="B888" s="53"/>
    </row>
    <row r="889">
      <c r="B889" s="53"/>
    </row>
    <row r="890">
      <c r="B890" s="53"/>
    </row>
    <row r="891">
      <c r="B891" s="53"/>
    </row>
    <row r="892">
      <c r="B892" s="53"/>
    </row>
    <row r="893">
      <c r="B893" s="53"/>
    </row>
    <row r="894">
      <c r="B894" s="53"/>
    </row>
    <row r="895">
      <c r="B895" s="53"/>
    </row>
    <row r="896">
      <c r="B896" s="53"/>
    </row>
    <row r="897">
      <c r="B897" s="53"/>
    </row>
    <row r="898">
      <c r="B898" s="53"/>
    </row>
    <row r="899">
      <c r="B899" s="53"/>
    </row>
    <row r="900">
      <c r="B900" s="53"/>
    </row>
    <row r="901">
      <c r="B901" s="53"/>
    </row>
    <row r="902">
      <c r="B902" s="53"/>
    </row>
    <row r="903">
      <c r="B903" s="53"/>
    </row>
    <row r="904">
      <c r="B904" s="53"/>
    </row>
    <row r="905">
      <c r="B905" s="53"/>
    </row>
    <row r="906">
      <c r="B906" s="53"/>
    </row>
    <row r="907">
      <c r="B907" s="53"/>
    </row>
    <row r="908">
      <c r="B908" s="53"/>
    </row>
    <row r="909">
      <c r="B909" s="53"/>
    </row>
    <row r="910">
      <c r="B910" s="53"/>
    </row>
    <row r="911">
      <c r="B911" s="53"/>
    </row>
    <row r="912">
      <c r="B912" s="53"/>
    </row>
    <row r="913">
      <c r="B913" s="53"/>
    </row>
    <row r="914">
      <c r="B914" s="53"/>
    </row>
    <row r="915">
      <c r="B915" s="53"/>
    </row>
    <row r="916">
      <c r="B916" s="53"/>
    </row>
    <row r="917">
      <c r="B917" s="53"/>
    </row>
    <row r="918">
      <c r="B918" s="53"/>
    </row>
    <row r="919">
      <c r="B919" s="53"/>
    </row>
    <row r="920">
      <c r="B920" s="53"/>
    </row>
    <row r="921">
      <c r="B921" s="53"/>
    </row>
    <row r="922">
      <c r="B922" s="53"/>
    </row>
    <row r="923">
      <c r="B923" s="53"/>
    </row>
    <row r="924">
      <c r="B924" s="53"/>
    </row>
    <row r="925">
      <c r="B925" s="53"/>
    </row>
    <row r="926">
      <c r="B926" s="53"/>
    </row>
    <row r="927">
      <c r="B927" s="53"/>
    </row>
    <row r="928">
      <c r="B928" s="53"/>
    </row>
    <row r="929">
      <c r="B929" s="53"/>
    </row>
    <row r="930">
      <c r="B930" s="53"/>
    </row>
    <row r="931">
      <c r="B931" s="53"/>
    </row>
    <row r="932">
      <c r="B932" s="53"/>
    </row>
    <row r="933">
      <c r="B933" s="53"/>
    </row>
    <row r="934">
      <c r="B934" s="53"/>
    </row>
    <row r="935">
      <c r="B935" s="53"/>
    </row>
    <row r="936">
      <c r="B936" s="53"/>
    </row>
    <row r="937">
      <c r="B937" s="53"/>
    </row>
    <row r="938">
      <c r="B938" s="53"/>
    </row>
    <row r="939">
      <c r="B939" s="53"/>
    </row>
    <row r="940">
      <c r="B940" s="53"/>
    </row>
    <row r="941">
      <c r="B941" s="53"/>
    </row>
    <row r="942">
      <c r="B942" s="53"/>
    </row>
    <row r="943">
      <c r="B943" s="53"/>
    </row>
    <row r="944">
      <c r="B944" s="53"/>
    </row>
    <row r="945">
      <c r="B945" s="53"/>
    </row>
    <row r="946">
      <c r="B946" s="53"/>
    </row>
    <row r="947">
      <c r="B947" s="53"/>
    </row>
    <row r="948">
      <c r="B948" s="53"/>
    </row>
    <row r="949">
      <c r="B949" s="53"/>
    </row>
    <row r="950">
      <c r="B950" s="53"/>
    </row>
    <row r="951">
      <c r="B951" s="53"/>
    </row>
    <row r="952">
      <c r="B952" s="53"/>
    </row>
    <row r="953">
      <c r="B953" s="53"/>
    </row>
    <row r="954">
      <c r="B954" s="53"/>
    </row>
    <row r="955">
      <c r="B955" s="53"/>
    </row>
    <row r="956">
      <c r="B956" s="53"/>
    </row>
    <row r="957">
      <c r="B957" s="53"/>
    </row>
    <row r="958">
      <c r="B958" s="53"/>
    </row>
    <row r="959">
      <c r="B959" s="53"/>
    </row>
    <row r="960">
      <c r="B960" s="53"/>
    </row>
    <row r="961">
      <c r="B961" s="53"/>
    </row>
    <row r="962">
      <c r="B962" s="53"/>
    </row>
    <row r="963">
      <c r="B963" s="53"/>
    </row>
    <row r="964">
      <c r="B964" s="53"/>
    </row>
    <row r="965">
      <c r="B965" s="53"/>
    </row>
    <row r="966">
      <c r="B966" s="53"/>
    </row>
    <row r="967">
      <c r="B967" s="53"/>
    </row>
    <row r="968">
      <c r="B968" s="53"/>
    </row>
    <row r="969">
      <c r="B969" s="53"/>
    </row>
    <row r="970">
      <c r="B970" s="53"/>
    </row>
    <row r="971">
      <c r="B971" s="53"/>
    </row>
    <row r="972">
      <c r="B972" s="53"/>
    </row>
    <row r="973">
      <c r="B973" s="53"/>
    </row>
    <row r="974">
      <c r="B974" s="53"/>
    </row>
    <row r="975">
      <c r="B975" s="53"/>
    </row>
    <row r="976">
      <c r="B976" s="53"/>
    </row>
    <row r="977">
      <c r="B977" s="53"/>
    </row>
    <row r="978">
      <c r="B978" s="53"/>
    </row>
    <row r="979">
      <c r="B979" s="53"/>
    </row>
    <row r="980">
      <c r="B980" s="53"/>
    </row>
    <row r="981">
      <c r="B981" s="53"/>
    </row>
    <row r="982">
      <c r="B982" s="53"/>
    </row>
    <row r="983">
      <c r="B983" s="53"/>
    </row>
    <row r="984">
      <c r="B984" s="53"/>
    </row>
    <row r="985">
      <c r="B985" s="53"/>
    </row>
    <row r="986">
      <c r="B986" s="53"/>
    </row>
    <row r="987">
      <c r="B987" s="53"/>
    </row>
    <row r="988">
      <c r="B988" s="53"/>
    </row>
    <row r="989">
      <c r="B989" s="53"/>
    </row>
    <row r="990">
      <c r="B990" s="53"/>
    </row>
    <row r="991">
      <c r="B991" s="53"/>
    </row>
    <row r="992">
      <c r="B992" s="53"/>
    </row>
    <row r="993">
      <c r="B993" s="53"/>
    </row>
    <row r="994">
      <c r="B994" s="53"/>
    </row>
    <row r="995">
      <c r="B995" s="53"/>
    </row>
    <row r="996">
      <c r="B996" s="53"/>
    </row>
    <row r="997">
      <c r="B997" s="53"/>
    </row>
    <row r="998">
      <c r="B998" s="53"/>
    </row>
    <row r="999">
      <c r="B999" s="53"/>
    </row>
    <row r="1000">
      <c r="B1000" s="53"/>
    </row>
    <row r="1001">
      <c r="B1001" s="53"/>
    </row>
    <row r="1002">
      <c r="B1002" s="53"/>
    </row>
  </sheetData>
  <mergeCells count="3">
    <mergeCell ref="A1:I1"/>
    <mergeCell ref="A2:I2"/>
    <mergeCell ref="A34:D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5.5"/>
    <col customWidth="1" min="4" max="4" width="20.88"/>
    <col customWidth="1" min="5" max="5" width="19.63"/>
    <col customWidth="1" min="6" max="6" width="15.38"/>
    <col customWidth="1" min="7" max="7" width="20.5"/>
    <col customWidth="1" min="8" max="8" width="19.38"/>
  </cols>
  <sheetData>
    <row r="1" ht="30.0" customHeight="1">
      <c r="A1" s="55" t="s">
        <v>206</v>
      </c>
      <c r="B1" s="2"/>
      <c r="C1" s="2"/>
      <c r="D1" s="2"/>
      <c r="E1" s="3"/>
      <c r="F1" s="53"/>
    </row>
    <row r="2">
      <c r="A2" s="56" t="s">
        <v>1</v>
      </c>
      <c r="B2" s="56" t="s">
        <v>2</v>
      </c>
      <c r="C2" s="56" t="s">
        <v>207</v>
      </c>
      <c r="D2" s="56" t="s">
        <v>208</v>
      </c>
      <c r="E2" s="56" t="s">
        <v>209</v>
      </c>
      <c r="F2" s="56" t="s">
        <v>210</v>
      </c>
      <c r="G2" s="56" t="s">
        <v>211</v>
      </c>
      <c r="H2" s="56" t="s">
        <v>212</v>
      </c>
    </row>
    <row r="3">
      <c r="A3" s="57">
        <v>1.0</v>
      </c>
      <c r="B3" s="58" t="s">
        <v>213</v>
      </c>
      <c r="C3" s="57" t="s">
        <v>214</v>
      </c>
      <c r="D3" s="59">
        <v>45625.0</v>
      </c>
      <c r="E3" s="60">
        <f>'1'!G19</f>
        <v>20663.6</v>
      </c>
      <c r="F3" s="61"/>
      <c r="G3" s="61">
        <v>46204.0</v>
      </c>
      <c r="H3" s="61">
        <v>46054.0</v>
      </c>
    </row>
    <row r="4">
      <c r="A4" s="57">
        <v>2.0</v>
      </c>
      <c r="B4" s="62" t="s">
        <v>215</v>
      </c>
      <c r="C4" s="63" t="s">
        <v>214</v>
      </c>
      <c r="D4" s="64">
        <v>46081.0</v>
      </c>
      <c r="E4" s="65">
        <f>'2'!G4</f>
        <v>29153.1</v>
      </c>
      <c r="F4" s="57" t="s">
        <v>216</v>
      </c>
      <c r="G4" s="57"/>
      <c r="H4" s="57"/>
    </row>
    <row r="5">
      <c r="A5" s="57">
        <v>3.0</v>
      </c>
      <c r="B5" s="58" t="s">
        <v>217</v>
      </c>
      <c r="C5" s="57" t="s">
        <v>218</v>
      </c>
      <c r="D5" s="66">
        <v>45806.0</v>
      </c>
      <c r="E5" s="60">
        <f>'3'!G13</f>
        <v>38632.4</v>
      </c>
      <c r="F5" s="61"/>
      <c r="G5" s="61">
        <v>46235.0</v>
      </c>
      <c r="H5" s="57" t="s">
        <v>20</v>
      </c>
    </row>
    <row r="6">
      <c r="A6" s="57">
        <v>4.0</v>
      </c>
      <c r="B6" s="58" t="s">
        <v>219</v>
      </c>
      <c r="C6" s="57" t="s">
        <v>220</v>
      </c>
      <c r="D6" s="66">
        <v>45045.0</v>
      </c>
      <c r="E6" s="60">
        <f>'4'!G38</f>
        <v>23302.2</v>
      </c>
      <c r="F6" s="61"/>
      <c r="G6" s="61">
        <v>46266.0</v>
      </c>
      <c r="H6" s="61">
        <v>46054.0</v>
      </c>
    </row>
    <row r="7">
      <c r="A7" s="57">
        <v>5.0</v>
      </c>
      <c r="B7" s="58" t="s">
        <v>221</v>
      </c>
      <c r="C7" s="57" t="s">
        <v>214</v>
      </c>
      <c r="D7" s="66">
        <v>45898.0</v>
      </c>
      <c r="E7" s="60">
        <f>'5'!G10</f>
        <v>28073.8</v>
      </c>
      <c r="F7" s="61"/>
      <c r="G7" s="61">
        <v>46296.0</v>
      </c>
      <c r="H7" s="61">
        <v>46054.0</v>
      </c>
    </row>
    <row r="8">
      <c r="A8" s="57">
        <v>6.0</v>
      </c>
      <c r="B8" s="58" t="s">
        <v>42</v>
      </c>
      <c r="C8" s="57" t="s">
        <v>218</v>
      </c>
      <c r="D8" s="66">
        <v>45806.0</v>
      </c>
      <c r="E8" s="60">
        <f>'6'!G13</f>
        <v>31608.4</v>
      </c>
      <c r="F8" s="61"/>
      <c r="G8" s="61">
        <v>46327.0</v>
      </c>
      <c r="H8" s="57" t="s">
        <v>20</v>
      </c>
    </row>
    <row r="9">
      <c r="A9" s="57">
        <v>7.0</v>
      </c>
      <c r="B9" s="58" t="s">
        <v>222</v>
      </c>
      <c r="C9" s="57" t="s">
        <v>218</v>
      </c>
      <c r="D9" s="66">
        <v>45898.0</v>
      </c>
      <c r="E9" s="60">
        <f>'7'!G11</f>
        <v>23279.7</v>
      </c>
      <c r="F9" s="61"/>
      <c r="G9" s="61">
        <v>46357.0</v>
      </c>
      <c r="H9" s="57" t="s">
        <v>20</v>
      </c>
    </row>
    <row r="10">
      <c r="A10" s="57">
        <v>8.0</v>
      </c>
      <c r="B10" s="62" t="s">
        <v>223</v>
      </c>
      <c r="C10" s="63" t="s">
        <v>214</v>
      </c>
      <c r="D10" s="64">
        <v>46081.0</v>
      </c>
      <c r="E10" s="65">
        <f>'8'!G69</f>
        <v>28883.6</v>
      </c>
      <c r="F10" s="57" t="s">
        <v>216</v>
      </c>
      <c r="G10" s="61">
        <v>46388.0</v>
      </c>
      <c r="H10" s="57" t="s">
        <v>20</v>
      </c>
    </row>
    <row r="11">
      <c r="A11" s="57">
        <v>9.0</v>
      </c>
      <c r="B11" s="58" t="s">
        <v>224</v>
      </c>
      <c r="C11" s="57" t="s">
        <v>218</v>
      </c>
      <c r="D11" s="66">
        <v>45837.0</v>
      </c>
      <c r="E11" s="60">
        <f>'9'!G12</f>
        <v>41731.6</v>
      </c>
      <c r="F11" s="61"/>
      <c r="G11" s="61">
        <v>46419.0</v>
      </c>
      <c r="H11" s="57" t="s">
        <v>20</v>
      </c>
    </row>
    <row r="12">
      <c r="A12" s="57">
        <v>10.0</v>
      </c>
      <c r="B12" s="58" t="s">
        <v>66</v>
      </c>
      <c r="C12" s="57" t="s">
        <v>225</v>
      </c>
      <c r="D12" s="66">
        <v>45959.0</v>
      </c>
      <c r="E12" s="60">
        <f>'10'!G62</f>
        <v>18223.3</v>
      </c>
      <c r="F12" s="57"/>
      <c r="G12" s="61">
        <v>46447.0</v>
      </c>
      <c r="H12" s="61">
        <v>46054.0</v>
      </c>
    </row>
    <row r="13">
      <c r="A13" s="57">
        <v>11.0</v>
      </c>
      <c r="B13" s="58" t="s">
        <v>226</v>
      </c>
      <c r="C13" s="57" t="s">
        <v>218</v>
      </c>
      <c r="D13" s="66">
        <v>45929.0</v>
      </c>
      <c r="E13" s="60">
        <f>'11'!G9</f>
        <v>49604.6</v>
      </c>
      <c r="F13" s="61"/>
      <c r="G13" s="61">
        <v>46478.0</v>
      </c>
      <c r="H13" s="61">
        <v>46054.0</v>
      </c>
    </row>
    <row r="14">
      <c r="A14" s="67">
        <v>12.0</v>
      </c>
      <c r="B14" s="68" t="s">
        <v>227</v>
      </c>
      <c r="C14" s="69" t="s">
        <v>228</v>
      </c>
      <c r="D14" s="70">
        <v>46051.0</v>
      </c>
      <c r="E14" s="71">
        <f>'12'!G71</f>
        <v>23595.4</v>
      </c>
      <c r="F14" s="67" t="s">
        <v>229</v>
      </c>
      <c r="G14" s="72">
        <v>46508.0</v>
      </c>
      <c r="H14" s="73">
        <v>45962.0</v>
      </c>
    </row>
    <row r="15">
      <c r="A15" s="67">
        <v>13.0</v>
      </c>
      <c r="B15" s="68" t="s">
        <v>230</v>
      </c>
      <c r="C15" s="69" t="s">
        <v>218</v>
      </c>
      <c r="D15" s="69" t="s">
        <v>231</v>
      </c>
      <c r="E15" s="71">
        <f>'13'!G16</f>
        <v>20799.2</v>
      </c>
      <c r="F15" s="72"/>
      <c r="G15" s="72">
        <v>46539.0</v>
      </c>
      <c r="H15" s="69" t="s">
        <v>20</v>
      </c>
    </row>
    <row r="16">
      <c r="A16" s="67">
        <v>14.0</v>
      </c>
      <c r="B16" s="68" t="s">
        <v>232</v>
      </c>
      <c r="C16" s="69" t="s">
        <v>218</v>
      </c>
      <c r="D16" s="74">
        <v>45259.0</v>
      </c>
      <c r="E16" s="71">
        <f>'14'!G31</f>
        <v>22991.9</v>
      </c>
      <c r="F16" s="72"/>
      <c r="G16" s="72">
        <v>46569.0</v>
      </c>
      <c r="H16" s="73">
        <v>46054.0</v>
      </c>
    </row>
    <row r="17">
      <c r="A17" s="67">
        <v>15.0</v>
      </c>
      <c r="B17" s="68" t="s">
        <v>233</v>
      </c>
      <c r="C17" s="69" t="s">
        <v>234</v>
      </c>
      <c r="D17" s="70">
        <v>45837.0</v>
      </c>
      <c r="E17" s="71">
        <f>'15'!G12</f>
        <v>17152.7</v>
      </c>
      <c r="F17" s="72"/>
      <c r="G17" s="72" t="s">
        <v>235</v>
      </c>
      <c r="H17" s="69" t="s">
        <v>20</v>
      </c>
    </row>
    <row r="18">
      <c r="A18" s="67">
        <v>16.0</v>
      </c>
      <c r="B18" s="75" t="s">
        <v>236</v>
      </c>
      <c r="C18" s="76" t="s">
        <v>214</v>
      </c>
      <c r="D18" s="77">
        <v>46081.0</v>
      </c>
      <c r="E18" s="65">
        <f>'16'!G57</f>
        <v>23085</v>
      </c>
      <c r="F18" s="67" t="s">
        <v>216</v>
      </c>
      <c r="G18" s="72">
        <v>46631.0</v>
      </c>
      <c r="H18" s="69" t="s">
        <v>20</v>
      </c>
    </row>
    <row r="19">
      <c r="A19" s="67">
        <v>17.0</v>
      </c>
      <c r="B19" s="68" t="s">
        <v>237</v>
      </c>
      <c r="C19" s="69" t="s">
        <v>218</v>
      </c>
      <c r="D19" s="70">
        <v>46051.0</v>
      </c>
      <c r="E19" s="71">
        <f>'17'!G95</f>
        <v>32609.2</v>
      </c>
      <c r="F19" s="67" t="s">
        <v>229</v>
      </c>
      <c r="G19" s="72">
        <v>46661.0</v>
      </c>
      <c r="H19" s="69" t="s">
        <v>20</v>
      </c>
    </row>
    <row r="20">
      <c r="A20" s="67">
        <v>18.0</v>
      </c>
      <c r="B20" s="78" t="s">
        <v>238</v>
      </c>
      <c r="C20" s="79" t="s">
        <v>220</v>
      </c>
      <c r="D20" s="80">
        <v>45502.0</v>
      </c>
      <c r="E20" s="71">
        <f>'18'!G23</f>
        <v>38541.4</v>
      </c>
      <c r="F20" s="72"/>
      <c r="G20" s="72">
        <v>46692.0</v>
      </c>
      <c r="H20" s="69" t="s">
        <v>20</v>
      </c>
    </row>
    <row r="21">
      <c r="A21" s="67">
        <v>19.0</v>
      </c>
      <c r="B21" s="81" t="s">
        <v>239</v>
      </c>
      <c r="C21" s="82" t="s">
        <v>214</v>
      </c>
      <c r="D21" s="82" t="s">
        <v>231</v>
      </c>
      <c r="E21" s="71">
        <f>'19'!G16</f>
        <v>32008.5</v>
      </c>
      <c r="F21" s="72"/>
      <c r="G21" s="72">
        <v>46722.0</v>
      </c>
      <c r="H21" s="69" t="s">
        <v>20</v>
      </c>
    </row>
    <row r="22">
      <c r="A22" s="67">
        <v>20.0</v>
      </c>
      <c r="B22" s="81" t="s">
        <v>240</v>
      </c>
      <c r="C22" s="82" t="s">
        <v>218</v>
      </c>
      <c r="D22" s="83">
        <v>45898.0</v>
      </c>
      <c r="E22" s="84">
        <f>'20'!G10</f>
        <v>51911.3</v>
      </c>
      <c r="F22" s="72"/>
      <c r="G22" s="72">
        <v>46784.0</v>
      </c>
      <c r="H22" s="69" t="s">
        <v>241</v>
      </c>
    </row>
    <row r="23">
      <c r="A23" s="85">
        <v>21.0</v>
      </c>
      <c r="B23" s="86" t="s">
        <v>242</v>
      </c>
      <c r="C23" s="87" t="s">
        <v>214</v>
      </c>
      <c r="D23" s="88">
        <v>45776.0</v>
      </c>
      <c r="E23" s="89">
        <f>'21'!G14</f>
        <v>30771.1</v>
      </c>
      <c r="F23" s="90"/>
      <c r="G23" s="90">
        <v>46813.0</v>
      </c>
      <c r="H23" s="91">
        <v>46054.0</v>
      </c>
    </row>
    <row r="24">
      <c r="A24" s="85">
        <v>22.0</v>
      </c>
      <c r="B24" s="86" t="s">
        <v>243</v>
      </c>
      <c r="C24" s="87" t="s">
        <v>214</v>
      </c>
      <c r="D24" s="92">
        <v>45959.0</v>
      </c>
      <c r="E24" s="89">
        <f>'22'!G75</f>
        <v>19080.2</v>
      </c>
      <c r="F24" s="93"/>
      <c r="G24" s="90">
        <v>46844.0</v>
      </c>
      <c r="H24" s="94">
        <v>45962.0</v>
      </c>
    </row>
    <row r="25">
      <c r="A25" s="85">
        <v>23.0</v>
      </c>
      <c r="B25" s="86" t="s">
        <v>244</v>
      </c>
      <c r="C25" s="87" t="s">
        <v>218</v>
      </c>
      <c r="D25" s="92">
        <v>46051.0</v>
      </c>
      <c r="E25" s="89">
        <f>'23'!G71</f>
        <v>20751.4</v>
      </c>
      <c r="F25" s="56" t="s">
        <v>229</v>
      </c>
      <c r="G25" s="56" t="s">
        <v>245</v>
      </c>
      <c r="H25" s="56" t="s">
        <v>20</v>
      </c>
    </row>
    <row r="26">
      <c r="A26" s="85">
        <v>24.0</v>
      </c>
      <c r="B26" s="86" t="s">
        <v>246</v>
      </c>
      <c r="C26" s="87" t="s">
        <v>214</v>
      </c>
      <c r="D26" s="95">
        <v>46020.0</v>
      </c>
      <c r="E26" s="89">
        <f>'24'!G60</f>
        <v>21492</v>
      </c>
      <c r="F26" s="96"/>
      <c r="G26" s="97" t="s">
        <v>247</v>
      </c>
      <c r="H26" s="91">
        <v>46054.0</v>
      </c>
    </row>
    <row r="27">
      <c r="A27" s="85">
        <v>25.0</v>
      </c>
      <c r="B27" s="98" t="s">
        <v>248</v>
      </c>
      <c r="C27" s="99" t="s">
        <v>218</v>
      </c>
      <c r="D27" s="100">
        <v>45837.0</v>
      </c>
      <c r="E27" s="101">
        <f>'25'!G12</f>
        <v>20835.5</v>
      </c>
      <c r="F27" s="91"/>
      <c r="G27" s="91"/>
      <c r="H27" s="91">
        <v>46054.0</v>
      </c>
    </row>
    <row r="28">
      <c r="A28" s="85">
        <v>26.0</v>
      </c>
      <c r="B28" s="98" t="s">
        <v>170</v>
      </c>
      <c r="C28" s="99" t="s">
        <v>225</v>
      </c>
      <c r="D28" s="100">
        <v>45990.0</v>
      </c>
      <c r="E28" s="101">
        <f>'26'!G61</f>
        <v>42605.9</v>
      </c>
      <c r="F28" s="96"/>
      <c r="G28" s="96" t="s">
        <v>249</v>
      </c>
      <c r="H28" s="96" t="s">
        <v>20</v>
      </c>
    </row>
    <row r="29">
      <c r="A29" s="85">
        <v>27.0</v>
      </c>
      <c r="B29" s="98" t="s">
        <v>250</v>
      </c>
      <c r="C29" s="99" t="s">
        <v>218</v>
      </c>
      <c r="D29" s="100">
        <v>45929.0</v>
      </c>
      <c r="E29" s="101">
        <f>'27'!G9</f>
        <v>40086.9</v>
      </c>
      <c r="F29" s="91"/>
      <c r="G29" s="91">
        <v>46082.0</v>
      </c>
      <c r="H29" s="96" t="s">
        <v>20</v>
      </c>
    </row>
    <row r="30">
      <c r="A30" s="85">
        <v>28.0</v>
      </c>
      <c r="B30" s="98" t="s">
        <v>182</v>
      </c>
      <c r="C30" s="99" t="s">
        <v>218</v>
      </c>
      <c r="D30" s="100">
        <v>45806.0</v>
      </c>
      <c r="E30" s="101">
        <f>'28'!G13</f>
        <v>30559.6</v>
      </c>
      <c r="F30" s="91"/>
      <c r="G30" s="91">
        <v>46113.0</v>
      </c>
      <c r="H30" s="91">
        <v>46054.0</v>
      </c>
    </row>
    <row r="31">
      <c r="A31" s="85">
        <v>29.0</v>
      </c>
      <c r="B31" s="98" t="s">
        <v>251</v>
      </c>
      <c r="C31" s="99" t="s">
        <v>218</v>
      </c>
      <c r="D31" s="100">
        <v>45929.0</v>
      </c>
      <c r="E31" s="101">
        <f>'29'!G9</f>
        <v>28144</v>
      </c>
      <c r="F31" s="91"/>
      <c r="G31" s="91">
        <v>46143.0</v>
      </c>
      <c r="H31" s="96" t="s">
        <v>20</v>
      </c>
    </row>
    <row r="32">
      <c r="A32" s="85">
        <v>30.0</v>
      </c>
      <c r="B32" s="75" t="s">
        <v>194</v>
      </c>
      <c r="C32" s="76" t="s">
        <v>225</v>
      </c>
      <c r="D32" s="77">
        <v>46081.0</v>
      </c>
      <c r="E32" s="65">
        <f>'30'!G46</f>
        <v>24415.6</v>
      </c>
      <c r="F32" s="96" t="s">
        <v>216</v>
      </c>
      <c r="G32" s="91">
        <v>46174.0</v>
      </c>
      <c r="H32" s="96" t="s">
        <v>20</v>
      </c>
    </row>
    <row r="33">
      <c r="A33" s="102" t="s">
        <v>252</v>
      </c>
      <c r="B33" s="2"/>
      <c r="C33" s="2"/>
      <c r="D33" s="3"/>
      <c r="E33" s="103">
        <f>SUM(E3:E32)</f>
        <v>874593.1</v>
      </c>
      <c r="F33" s="53"/>
    </row>
    <row r="34">
      <c r="A34" s="102" t="s">
        <v>253</v>
      </c>
      <c r="B34" s="2"/>
      <c r="C34" s="2"/>
      <c r="D34" s="3"/>
      <c r="E34" s="103">
        <f>E33/A32</f>
        <v>29153.10333</v>
      </c>
      <c r="F34" s="53"/>
    </row>
    <row r="35">
      <c r="F35" s="53"/>
    </row>
    <row r="36">
      <c r="F36" s="53"/>
    </row>
    <row r="37">
      <c r="F37" s="53"/>
    </row>
    <row r="38">
      <c r="F38" s="53"/>
    </row>
    <row r="39">
      <c r="F39" s="53"/>
    </row>
    <row r="40">
      <c r="F40" s="53"/>
    </row>
    <row r="41">
      <c r="F41" s="53"/>
    </row>
    <row r="42">
      <c r="F42" s="53"/>
    </row>
    <row r="43">
      <c r="F43" s="53"/>
    </row>
    <row r="44">
      <c r="F44" s="53"/>
    </row>
    <row r="45">
      <c r="F45" s="53"/>
    </row>
    <row r="46">
      <c r="F46" s="53"/>
    </row>
    <row r="47">
      <c r="F47" s="53"/>
    </row>
    <row r="48">
      <c r="F48" s="53"/>
    </row>
    <row r="49">
      <c r="F49" s="53"/>
    </row>
    <row r="50">
      <c r="F50" s="53"/>
    </row>
    <row r="51">
      <c r="F51" s="53"/>
    </row>
    <row r="52">
      <c r="F52" s="53"/>
    </row>
    <row r="53">
      <c r="F53" s="53"/>
    </row>
    <row r="54">
      <c r="F54" s="53"/>
    </row>
    <row r="55">
      <c r="F55" s="53"/>
    </row>
    <row r="56">
      <c r="F56" s="53"/>
    </row>
    <row r="57">
      <c r="F57" s="53"/>
    </row>
    <row r="58">
      <c r="F58" s="53"/>
    </row>
    <row r="59">
      <c r="F59" s="53"/>
    </row>
    <row r="60">
      <c r="F60" s="53"/>
    </row>
    <row r="61">
      <c r="F61" s="53"/>
    </row>
    <row r="62">
      <c r="F62" s="53"/>
    </row>
    <row r="63">
      <c r="F63" s="53"/>
    </row>
    <row r="64">
      <c r="F64" s="53"/>
    </row>
    <row r="65">
      <c r="F65" s="53"/>
    </row>
    <row r="66">
      <c r="F66" s="53"/>
    </row>
    <row r="67">
      <c r="F67" s="53"/>
    </row>
    <row r="68">
      <c r="F68" s="53"/>
    </row>
    <row r="69">
      <c r="F69" s="53"/>
    </row>
    <row r="70">
      <c r="F70" s="53"/>
    </row>
    <row r="71">
      <c r="F71" s="53"/>
    </row>
    <row r="72">
      <c r="F72" s="53"/>
    </row>
    <row r="73">
      <c r="F73" s="53"/>
    </row>
    <row r="74">
      <c r="F74" s="53"/>
    </row>
    <row r="75">
      <c r="F75" s="53"/>
    </row>
    <row r="76">
      <c r="F76" s="53"/>
    </row>
    <row r="77">
      <c r="F77" s="53"/>
    </row>
    <row r="78">
      <c r="F78" s="53"/>
    </row>
    <row r="79">
      <c r="F79" s="53"/>
    </row>
    <row r="80">
      <c r="F80" s="53"/>
    </row>
    <row r="81">
      <c r="F81" s="53"/>
    </row>
    <row r="82">
      <c r="F82" s="53"/>
    </row>
    <row r="83">
      <c r="A83" s="104" t="s">
        <v>254</v>
      </c>
      <c r="B83" s="2"/>
      <c r="C83" s="2"/>
      <c r="D83" s="2"/>
      <c r="E83" s="2"/>
      <c r="F83" s="2"/>
      <c r="G83" s="3"/>
    </row>
    <row r="84">
      <c r="A84" s="105" t="s">
        <v>255</v>
      </c>
      <c r="B84" s="2"/>
      <c r="C84" s="2"/>
      <c r="D84" s="2"/>
      <c r="E84" s="2"/>
      <c r="F84" s="2"/>
      <c r="G84" s="3"/>
    </row>
    <row r="85">
      <c r="A85" s="106" t="s">
        <v>1</v>
      </c>
      <c r="B85" s="106" t="s">
        <v>2</v>
      </c>
      <c r="C85" s="106" t="s">
        <v>207</v>
      </c>
      <c r="D85" s="106" t="s">
        <v>256</v>
      </c>
      <c r="E85" s="106" t="s">
        <v>257</v>
      </c>
      <c r="F85" s="106" t="s">
        <v>258</v>
      </c>
      <c r="G85" s="106" t="s">
        <v>252</v>
      </c>
    </row>
    <row r="86">
      <c r="A86" s="107">
        <v>1.0</v>
      </c>
      <c r="B86" s="108" t="s">
        <v>213</v>
      </c>
      <c r="C86" s="107" t="s">
        <v>214</v>
      </c>
      <c r="D86" s="109">
        <v>45625.0</v>
      </c>
      <c r="E86" s="107" t="s">
        <v>259</v>
      </c>
      <c r="F86" s="107" t="s">
        <v>260</v>
      </c>
      <c r="G86" s="107" t="s">
        <v>261</v>
      </c>
    </row>
    <row r="87">
      <c r="A87" s="110">
        <v>2.0</v>
      </c>
      <c r="B87" s="111" t="s">
        <v>215</v>
      </c>
      <c r="C87" s="110" t="s">
        <v>214</v>
      </c>
      <c r="D87" s="112">
        <v>46081.0</v>
      </c>
      <c r="E87" s="110" t="s">
        <v>262</v>
      </c>
      <c r="F87" s="110" t="s">
        <v>260</v>
      </c>
      <c r="G87" s="110" t="s">
        <v>263</v>
      </c>
    </row>
    <row r="88">
      <c r="A88" s="107">
        <v>3.0</v>
      </c>
      <c r="B88" s="108" t="s">
        <v>217</v>
      </c>
      <c r="C88" s="107" t="s">
        <v>218</v>
      </c>
      <c r="D88" s="113">
        <v>45806.0</v>
      </c>
      <c r="E88" s="107" t="s">
        <v>264</v>
      </c>
      <c r="F88" s="107" t="s">
        <v>260</v>
      </c>
      <c r="G88" s="107" t="s">
        <v>265</v>
      </c>
    </row>
    <row r="89">
      <c r="A89" s="107">
        <v>4.0</v>
      </c>
      <c r="B89" s="108" t="s">
        <v>219</v>
      </c>
      <c r="C89" s="107" t="s">
        <v>220</v>
      </c>
      <c r="D89" s="113">
        <v>45045.0</v>
      </c>
      <c r="E89" s="107" t="s">
        <v>266</v>
      </c>
      <c r="F89" s="107" t="s">
        <v>260</v>
      </c>
      <c r="G89" s="107" t="s">
        <v>267</v>
      </c>
    </row>
    <row r="90">
      <c r="A90" s="107">
        <v>5.0</v>
      </c>
      <c r="B90" s="108" t="s">
        <v>221</v>
      </c>
      <c r="C90" s="107" t="s">
        <v>214</v>
      </c>
      <c r="D90" s="113">
        <v>45898.0</v>
      </c>
      <c r="E90" s="107" t="s">
        <v>268</v>
      </c>
      <c r="F90" s="107" t="s">
        <v>260</v>
      </c>
      <c r="G90" s="107" t="s">
        <v>269</v>
      </c>
    </row>
    <row r="91">
      <c r="A91" s="107">
        <v>6.0</v>
      </c>
      <c r="B91" s="108" t="s">
        <v>42</v>
      </c>
      <c r="C91" s="107" t="s">
        <v>218</v>
      </c>
      <c r="D91" s="113">
        <v>45806.0</v>
      </c>
      <c r="E91" s="107" t="s">
        <v>270</v>
      </c>
      <c r="F91" s="107" t="s">
        <v>260</v>
      </c>
      <c r="G91" s="107" t="s">
        <v>271</v>
      </c>
    </row>
    <row r="92">
      <c r="A92" s="107">
        <v>7.0</v>
      </c>
      <c r="B92" s="108" t="s">
        <v>222</v>
      </c>
      <c r="C92" s="107" t="s">
        <v>218</v>
      </c>
      <c r="D92" s="113">
        <v>45898.0</v>
      </c>
      <c r="E92" s="107" t="s">
        <v>272</v>
      </c>
      <c r="F92" s="107" t="s">
        <v>260</v>
      </c>
      <c r="G92" s="107" t="s">
        <v>273</v>
      </c>
    </row>
    <row r="93">
      <c r="A93" s="110">
        <v>8.0</v>
      </c>
      <c r="B93" s="111" t="s">
        <v>223</v>
      </c>
      <c r="C93" s="110" t="s">
        <v>214</v>
      </c>
      <c r="D93" s="112">
        <v>46081.0</v>
      </c>
      <c r="E93" s="110" t="s">
        <v>274</v>
      </c>
      <c r="F93" s="110" t="s">
        <v>260</v>
      </c>
      <c r="G93" s="110" t="s">
        <v>275</v>
      </c>
    </row>
    <row r="94">
      <c r="A94" s="107">
        <v>9.0</v>
      </c>
      <c r="B94" s="108" t="s">
        <v>224</v>
      </c>
      <c r="C94" s="107" t="s">
        <v>218</v>
      </c>
      <c r="D94" s="109">
        <v>45837.0</v>
      </c>
      <c r="E94" s="107" t="s">
        <v>276</v>
      </c>
      <c r="F94" s="107" t="s">
        <v>260</v>
      </c>
      <c r="G94" s="107" t="s">
        <v>277</v>
      </c>
    </row>
    <row r="95">
      <c r="A95" s="107">
        <v>10.0</v>
      </c>
      <c r="B95" s="108" t="s">
        <v>66</v>
      </c>
      <c r="C95" s="107" t="s">
        <v>225</v>
      </c>
      <c r="D95" s="113">
        <v>45959.0</v>
      </c>
      <c r="E95" s="107" t="s">
        <v>278</v>
      </c>
      <c r="F95" s="107" t="s">
        <v>260</v>
      </c>
      <c r="G95" s="107" t="s">
        <v>279</v>
      </c>
    </row>
    <row r="96">
      <c r="A96" s="114">
        <v>11.0</v>
      </c>
      <c r="B96" s="115" t="s">
        <v>226</v>
      </c>
      <c r="C96" s="114" t="s">
        <v>218</v>
      </c>
      <c r="D96" s="116">
        <v>45929.0</v>
      </c>
      <c r="E96" s="114" t="s">
        <v>280</v>
      </c>
      <c r="F96" s="114" t="s">
        <v>260</v>
      </c>
      <c r="G96" s="114" t="s">
        <v>281</v>
      </c>
    </row>
    <row r="97">
      <c r="A97" s="114">
        <v>12.0</v>
      </c>
      <c r="B97" s="115" t="s">
        <v>227</v>
      </c>
      <c r="C97" s="114" t="s">
        <v>214</v>
      </c>
      <c r="D97" s="116">
        <v>45594.0</v>
      </c>
      <c r="E97" s="114" t="s">
        <v>282</v>
      </c>
      <c r="F97" s="114" t="s">
        <v>260</v>
      </c>
      <c r="G97" s="114" t="s">
        <v>283</v>
      </c>
    </row>
    <row r="98">
      <c r="A98" s="114">
        <v>13.0</v>
      </c>
      <c r="B98" s="115" t="s">
        <v>230</v>
      </c>
      <c r="C98" s="114" t="s">
        <v>218</v>
      </c>
      <c r="D98" s="114" t="s">
        <v>231</v>
      </c>
      <c r="E98" s="114" t="s">
        <v>284</v>
      </c>
      <c r="F98" s="114" t="s">
        <v>260</v>
      </c>
      <c r="G98" s="114" t="s">
        <v>285</v>
      </c>
    </row>
    <row r="99">
      <c r="A99" s="114">
        <v>14.0</v>
      </c>
      <c r="B99" s="115" t="s">
        <v>232</v>
      </c>
      <c r="C99" s="114" t="s">
        <v>218</v>
      </c>
      <c r="D99" s="117">
        <v>45259.0</v>
      </c>
      <c r="E99" s="114" t="s">
        <v>286</v>
      </c>
      <c r="F99" s="114" t="s">
        <v>260</v>
      </c>
      <c r="G99" s="114" t="s">
        <v>287</v>
      </c>
    </row>
    <row r="100">
      <c r="A100" s="114">
        <v>15.0</v>
      </c>
      <c r="B100" s="115" t="s">
        <v>233</v>
      </c>
      <c r="C100" s="114" t="s">
        <v>234</v>
      </c>
      <c r="D100" s="117">
        <v>45837.0</v>
      </c>
      <c r="E100" s="114" t="s">
        <v>288</v>
      </c>
      <c r="F100" s="114" t="s">
        <v>260</v>
      </c>
      <c r="G100" s="114" t="s">
        <v>289</v>
      </c>
    </row>
    <row r="101">
      <c r="A101" s="110">
        <v>16.0</v>
      </c>
      <c r="B101" s="111" t="s">
        <v>236</v>
      </c>
      <c r="C101" s="110" t="s">
        <v>225</v>
      </c>
      <c r="D101" s="112">
        <v>45745.0</v>
      </c>
      <c r="E101" s="110" t="s">
        <v>290</v>
      </c>
      <c r="F101" s="110" t="s">
        <v>260</v>
      </c>
      <c r="G101" s="110" t="s">
        <v>291</v>
      </c>
    </row>
    <row r="102">
      <c r="A102" s="114">
        <v>17.0</v>
      </c>
      <c r="B102" s="115" t="s">
        <v>237</v>
      </c>
      <c r="C102" s="114" t="s">
        <v>218</v>
      </c>
      <c r="D102" s="117">
        <v>45837.0</v>
      </c>
      <c r="E102" s="114" t="s">
        <v>292</v>
      </c>
      <c r="F102" s="114" t="s">
        <v>260</v>
      </c>
      <c r="G102" s="114" t="s">
        <v>293</v>
      </c>
    </row>
    <row r="103">
      <c r="A103" s="114">
        <v>18.0</v>
      </c>
      <c r="B103" s="115" t="s">
        <v>238</v>
      </c>
      <c r="C103" s="114" t="s">
        <v>220</v>
      </c>
      <c r="D103" s="117">
        <v>45502.0</v>
      </c>
      <c r="E103" s="114" t="s">
        <v>294</v>
      </c>
      <c r="F103" s="114" t="s">
        <v>260</v>
      </c>
      <c r="G103" s="114" t="s">
        <v>295</v>
      </c>
    </row>
    <row r="104">
      <c r="A104" s="114">
        <v>19.0</v>
      </c>
      <c r="B104" s="115" t="s">
        <v>239</v>
      </c>
      <c r="C104" s="114" t="s">
        <v>214</v>
      </c>
      <c r="D104" s="114" t="s">
        <v>231</v>
      </c>
      <c r="E104" s="114" t="s">
        <v>296</v>
      </c>
      <c r="F104" s="114" t="s">
        <v>260</v>
      </c>
      <c r="G104" s="114" t="s">
        <v>297</v>
      </c>
    </row>
    <row r="105">
      <c r="A105" s="114">
        <v>20.0</v>
      </c>
      <c r="B105" s="118" t="s">
        <v>240</v>
      </c>
      <c r="C105" s="119" t="s">
        <v>218</v>
      </c>
      <c r="D105" s="120">
        <v>45898.0</v>
      </c>
      <c r="E105" s="119" t="s">
        <v>298</v>
      </c>
      <c r="F105" s="114" t="s">
        <v>260</v>
      </c>
      <c r="G105" s="114" t="s">
        <v>299</v>
      </c>
    </row>
    <row r="106">
      <c r="A106" s="121">
        <v>21.0</v>
      </c>
      <c r="B106" s="122" t="s">
        <v>242</v>
      </c>
      <c r="C106" s="123" t="s">
        <v>214</v>
      </c>
      <c r="D106" s="124">
        <v>45776.0</v>
      </c>
      <c r="E106" s="123" t="s">
        <v>300</v>
      </c>
      <c r="F106" s="121" t="s">
        <v>260</v>
      </c>
      <c r="G106" s="121" t="s">
        <v>301</v>
      </c>
    </row>
    <row r="107">
      <c r="A107" s="121">
        <v>22.0</v>
      </c>
      <c r="B107" s="122" t="s">
        <v>243</v>
      </c>
      <c r="C107" s="123" t="s">
        <v>214</v>
      </c>
      <c r="D107" s="125">
        <v>45959.0</v>
      </c>
      <c r="E107" s="123" t="s">
        <v>302</v>
      </c>
      <c r="F107" s="121" t="s">
        <v>260</v>
      </c>
      <c r="G107" s="121" t="s">
        <v>303</v>
      </c>
    </row>
    <row r="108">
      <c r="A108" s="121">
        <v>23.0</v>
      </c>
      <c r="B108" s="122" t="s">
        <v>244</v>
      </c>
      <c r="C108" s="123" t="s">
        <v>214</v>
      </c>
      <c r="D108" s="125">
        <v>45594.0</v>
      </c>
      <c r="E108" s="123" t="s">
        <v>304</v>
      </c>
      <c r="F108" s="121" t="s">
        <v>260</v>
      </c>
      <c r="G108" s="121" t="s">
        <v>305</v>
      </c>
    </row>
    <row r="109">
      <c r="A109" s="121">
        <v>24.0</v>
      </c>
      <c r="B109" s="122" t="s">
        <v>246</v>
      </c>
      <c r="C109" s="123" t="s">
        <v>214</v>
      </c>
      <c r="D109" s="124">
        <v>46020.0</v>
      </c>
      <c r="E109" s="123" t="s">
        <v>306</v>
      </c>
      <c r="F109" s="121" t="s">
        <v>260</v>
      </c>
      <c r="G109" s="121" t="s">
        <v>307</v>
      </c>
    </row>
    <row r="110">
      <c r="A110" s="121">
        <v>25.0</v>
      </c>
      <c r="B110" s="122" t="s">
        <v>248</v>
      </c>
      <c r="C110" s="123" t="s">
        <v>218</v>
      </c>
      <c r="D110" s="124">
        <v>45837.0</v>
      </c>
      <c r="E110" s="123" t="s">
        <v>308</v>
      </c>
      <c r="F110" s="121" t="s">
        <v>260</v>
      </c>
      <c r="G110" s="121" t="s">
        <v>309</v>
      </c>
    </row>
    <row r="111">
      <c r="A111" s="121">
        <v>26.0</v>
      </c>
      <c r="B111" s="122" t="s">
        <v>170</v>
      </c>
      <c r="C111" s="123" t="s">
        <v>225</v>
      </c>
      <c r="D111" s="124">
        <v>45990.0</v>
      </c>
      <c r="E111" s="123" t="s">
        <v>310</v>
      </c>
      <c r="F111" s="121" t="s">
        <v>260</v>
      </c>
      <c r="G111" s="121" t="s">
        <v>311</v>
      </c>
    </row>
    <row r="112">
      <c r="A112" s="121">
        <v>27.0</v>
      </c>
      <c r="B112" s="122" t="s">
        <v>250</v>
      </c>
      <c r="C112" s="123" t="s">
        <v>218</v>
      </c>
      <c r="D112" s="124">
        <v>45929.0</v>
      </c>
      <c r="E112" s="123" t="s">
        <v>312</v>
      </c>
      <c r="F112" s="121" t="s">
        <v>260</v>
      </c>
      <c r="G112" s="121" t="s">
        <v>313</v>
      </c>
    </row>
    <row r="113">
      <c r="A113" s="121">
        <v>28.0</v>
      </c>
      <c r="B113" s="122" t="s">
        <v>182</v>
      </c>
      <c r="C113" s="123" t="s">
        <v>218</v>
      </c>
      <c r="D113" s="124">
        <v>45806.0</v>
      </c>
      <c r="E113" s="123" t="s">
        <v>314</v>
      </c>
      <c r="F113" s="121" t="s">
        <v>260</v>
      </c>
      <c r="G113" s="121" t="s">
        <v>315</v>
      </c>
    </row>
    <row r="114">
      <c r="A114" s="121">
        <v>29.0</v>
      </c>
      <c r="B114" s="122" t="s">
        <v>251</v>
      </c>
      <c r="C114" s="123" t="s">
        <v>218</v>
      </c>
      <c r="D114" s="124">
        <v>45929.0</v>
      </c>
      <c r="E114" s="123" t="s">
        <v>316</v>
      </c>
      <c r="F114" s="121" t="s">
        <v>260</v>
      </c>
      <c r="G114" s="121" t="s">
        <v>317</v>
      </c>
    </row>
    <row r="115">
      <c r="A115" s="110">
        <v>30.0</v>
      </c>
      <c r="B115" s="111" t="s">
        <v>194</v>
      </c>
      <c r="C115" s="110" t="s">
        <v>225</v>
      </c>
      <c r="D115" s="112">
        <v>45686.0</v>
      </c>
      <c r="E115" s="110" t="s">
        <v>318</v>
      </c>
      <c r="F115" s="110" t="s">
        <v>260</v>
      </c>
      <c r="G115" s="110" t="s">
        <v>319</v>
      </c>
    </row>
    <row r="116">
      <c r="A116" s="126" t="s">
        <v>320</v>
      </c>
      <c r="B116" s="2"/>
      <c r="C116" s="2"/>
      <c r="D116" s="3"/>
      <c r="E116" s="127" t="s">
        <v>321</v>
      </c>
      <c r="F116" s="127" t="s">
        <v>322</v>
      </c>
      <c r="G116" s="127" t="s">
        <v>323</v>
      </c>
    </row>
    <row r="117">
      <c r="F117" s="53"/>
    </row>
    <row r="118">
      <c r="F118" s="53"/>
    </row>
    <row r="119">
      <c r="F119" s="53"/>
    </row>
    <row r="120">
      <c r="F120" s="53"/>
    </row>
    <row r="121">
      <c r="F121" s="53"/>
    </row>
    <row r="122">
      <c r="F122" s="53"/>
    </row>
    <row r="123">
      <c r="F123" s="53"/>
    </row>
    <row r="124">
      <c r="F124" s="53"/>
    </row>
    <row r="125">
      <c r="F125" s="53"/>
    </row>
    <row r="126">
      <c r="F126" s="53"/>
    </row>
    <row r="127">
      <c r="F127" s="53"/>
    </row>
    <row r="128">
      <c r="F128" s="53"/>
    </row>
    <row r="129">
      <c r="F129" s="53"/>
    </row>
    <row r="130">
      <c r="F130" s="53"/>
    </row>
    <row r="131">
      <c r="F131" s="53"/>
    </row>
    <row r="132">
      <c r="F132" s="53"/>
    </row>
    <row r="133">
      <c r="F133" s="53"/>
    </row>
    <row r="134">
      <c r="F134" s="53"/>
    </row>
    <row r="135">
      <c r="F135" s="53"/>
    </row>
    <row r="136">
      <c r="F136" s="53"/>
    </row>
    <row r="137">
      <c r="F137" s="53"/>
    </row>
    <row r="138">
      <c r="F138" s="53"/>
    </row>
    <row r="139">
      <c r="F139" s="53"/>
    </row>
    <row r="140">
      <c r="F140" s="53"/>
    </row>
    <row r="141">
      <c r="F141" s="53"/>
    </row>
    <row r="142">
      <c r="F142" s="53"/>
    </row>
    <row r="143">
      <c r="F143" s="53"/>
    </row>
    <row r="144">
      <c r="F144" s="53"/>
    </row>
    <row r="145">
      <c r="F145" s="53"/>
    </row>
    <row r="146">
      <c r="F146" s="53"/>
    </row>
    <row r="147">
      <c r="F147" s="53"/>
    </row>
    <row r="148">
      <c r="F148" s="53"/>
    </row>
    <row r="149">
      <c r="F149" s="53"/>
    </row>
    <row r="150">
      <c r="F150" s="53"/>
    </row>
    <row r="151">
      <c r="F151" s="53"/>
    </row>
    <row r="152">
      <c r="F152" s="53"/>
    </row>
    <row r="153">
      <c r="F153" s="53"/>
    </row>
    <row r="154">
      <c r="F154" s="53"/>
    </row>
    <row r="155">
      <c r="F155" s="53"/>
    </row>
    <row r="156">
      <c r="F156" s="53"/>
    </row>
    <row r="157">
      <c r="F157" s="53"/>
    </row>
    <row r="158">
      <c r="F158" s="53"/>
    </row>
    <row r="159">
      <c r="F159" s="53"/>
    </row>
    <row r="160">
      <c r="F160" s="53"/>
    </row>
    <row r="161">
      <c r="F161" s="53"/>
    </row>
    <row r="162">
      <c r="F162" s="53"/>
    </row>
    <row r="163">
      <c r="F163" s="53"/>
    </row>
    <row r="164">
      <c r="F164" s="53"/>
    </row>
    <row r="165">
      <c r="F165" s="53"/>
    </row>
    <row r="166">
      <c r="F166" s="53"/>
    </row>
    <row r="167">
      <c r="F167" s="53"/>
    </row>
    <row r="168">
      <c r="F168" s="53"/>
    </row>
    <row r="169">
      <c r="F169" s="53"/>
    </row>
    <row r="170">
      <c r="F170" s="53"/>
    </row>
    <row r="171">
      <c r="F171" s="53"/>
    </row>
    <row r="172">
      <c r="F172" s="53"/>
    </row>
    <row r="173">
      <c r="F173" s="53"/>
    </row>
    <row r="174">
      <c r="F174" s="53"/>
    </row>
    <row r="175">
      <c r="F175" s="53"/>
    </row>
    <row r="176">
      <c r="F176" s="53"/>
    </row>
    <row r="177">
      <c r="F177" s="53"/>
    </row>
    <row r="178">
      <c r="F178" s="53"/>
    </row>
    <row r="179">
      <c r="F179" s="53"/>
    </row>
    <row r="180">
      <c r="F180" s="53"/>
    </row>
    <row r="181">
      <c r="F181" s="53"/>
    </row>
    <row r="182">
      <c r="F182" s="53"/>
    </row>
    <row r="183">
      <c r="F183" s="53"/>
    </row>
    <row r="184">
      <c r="F184" s="53"/>
    </row>
    <row r="185">
      <c r="F185" s="53"/>
    </row>
    <row r="186">
      <c r="F186" s="53"/>
    </row>
    <row r="187">
      <c r="F187" s="53"/>
    </row>
    <row r="188">
      <c r="F188" s="53"/>
    </row>
    <row r="189">
      <c r="F189" s="53"/>
    </row>
    <row r="190">
      <c r="F190" s="53"/>
    </row>
    <row r="191">
      <c r="F191" s="53"/>
    </row>
    <row r="192">
      <c r="F192" s="53"/>
    </row>
    <row r="193">
      <c r="F193" s="53"/>
    </row>
    <row r="194">
      <c r="F194" s="53"/>
    </row>
    <row r="195">
      <c r="F195" s="53"/>
    </row>
    <row r="196">
      <c r="F196" s="53"/>
    </row>
    <row r="197">
      <c r="F197" s="53"/>
    </row>
    <row r="198">
      <c r="F198" s="53"/>
    </row>
    <row r="199">
      <c r="F199" s="53"/>
    </row>
    <row r="200">
      <c r="F200" s="53"/>
    </row>
    <row r="201">
      <c r="F201" s="53"/>
    </row>
    <row r="202">
      <c r="F202" s="53"/>
    </row>
    <row r="203">
      <c r="F203" s="53"/>
    </row>
    <row r="204">
      <c r="F204" s="53"/>
    </row>
    <row r="205">
      <c r="F205" s="53"/>
    </row>
    <row r="206">
      <c r="F206" s="53"/>
    </row>
    <row r="207">
      <c r="F207" s="53"/>
    </row>
    <row r="208">
      <c r="F208" s="53"/>
    </row>
    <row r="209">
      <c r="F209" s="53"/>
    </row>
    <row r="210">
      <c r="F210" s="53"/>
    </row>
    <row r="211">
      <c r="F211" s="53"/>
    </row>
    <row r="212">
      <c r="F212" s="53"/>
    </row>
    <row r="213">
      <c r="F213" s="53"/>
    </row>
    <row r="214">
      <c r="F214" s="53"/>
    </row>
    <row r="215">
      <c r="F215" s="53"/>
    </row>
    <row r="216">
      <c r="F216" s="53"/>
    </row>
    <row r="217">
      <c r="F217" s="53"/>
    </row>
    <row r="218">
      <c r="F218" s="53"/>
    </row>
    <row r="219">
      <c r="F219" s="53"/>
    </row>
    <row r="220">
      <c r="F220" s="53"/>
    </row>
    <row r="221">
      <c r="F221" s="53"/>
    </row>
    <row r="222">
      <c r="F222" s="53"/>
    </row>
    <row r="223">
      <c r="F223" s="53"/>
    </row>
    <row r="224">
      <c r="F224" s="53"/>
    </row>
    <row r="225">
      <c r="F225" s="53"/>
    </row>
    <row r="226">
      <c r="F226" s="53"/>
    </row>
    <row r="227">
      <c r="F227" s="53"/>
    </row>
    <row r="228">
      <c r="F228" s="53"/>
    </row>
    <row r="229">
      <c r="F229" s="53"/>
    </row>
    <row r="230">
      <c r="F230" s="53"/>
    </row>
    <row r="231">
      <c r="F231" s="53"/>
    </row>
    <row r="232">
      <c r="F232" s="53"/>
    </row>
    <row r="233">
      <c r="F233" s="53"/>
    </row>
    <row r="234">
      <c r="F234" s="53"/>
    </row>
    <row r="235">
      <c r="F235" s="53"/>
    </row>
    <row r="236">
      <c r="F236" s="53"/>
    </row>
    <row r="237">
      <c r="F237" s="53"/>
    </row>
    <row r="238">
      <c r="F238" s="53"/>
    </row>
    <row r="239">
      <c r="F239" s="53"/>
    </row>
    <row r="240">
      <c r="F240" s="53"/>
    </row>
    <row r="241">
      <c r="F241" s="53"/>
    </row>
    <row r="242">
      <c r="F242" s="53"/>
    </row>
    <row r="243">
      <c r="F243" s="53"/>
    </row>
    <row r="244">
      <c r="F244" s="53"/>
    </row>
    <row r="245">
      <c r="F245" s="53"/>
    </row>
    <row r="246">
      <c r="F246" s="53"/>
    </row>
    <row r="247">
      <c r="F247" s="53"/>
    </row>
    <row r="248">
      <c r="F248" s="53"/>
    </row>
    <row r="249">
      <c r="F249" s="53"/>
    </row>
    <row r="250">
      <c r="F250" s="53"/>
    </row>
    <row r="251">
      <c r="F251" s="53"/>
    </row>
    <row r="252">
      <c r="F252" s="53"/>
    </row>
    <row r="253">
      <c r="F253" s="53"/>
    </row>
    <row r="254">
      <c r="F254" s="53"/>
    </row>
    <row r="255">
      <c r="F255" s="53"/>
    </row>
    <row r="256">
      <c r="F256" s="53"/>
    </row>
    <row r="257">
      <c r="F257" s="53"/>
    </row>
    <row r="258">
      <c r="F258" s="53"/>
    </row>
    <row r="259">
      <c r="F259" s="53"/>
    </row>
    <row r="260">
      <c r="F260" s="53"/>
    </row>
    <row r="261">
      <c r="F261" s="53"/>
    </row>
    <row r="262">
      <c r="F262" s="53"/>
    </row>
    <row r="263">
      <c r="F263" s="53"/>
    </row>
    <row r="264">
      <c r="F264" s="53"/>
    </row>
    <row r="265">
      <c r="F265" s="53"/>
    </row>
    <row r="266">
      <c r="F266" s="53"/>
    </row>
    <row r="267">
      <c r="F267" s="53"/>
    </row>
    <row r="268">
      <c r="F268" s="53"/>
    </row>
    <row r="269">
      <c r="F269" s="53"/>
    </row>
    <row r="270">
      <c r="F270" s="53"/>
    </row>
    <row r="271">
      <c r="F271" s="53"/>
    </row>
    <row r="272">
      <c r="F272" s="53"/>
    </row>
    <row r="273">
      <c r="F273" s="53"/>
    </row>
    <row r="274">
      <c r="F274" s="53"/>
    </row>
    <row r="275">
      <c r="F275" s="53"/>
    </row>
    <row r="276">
      <c r="F276" s="53"/>
    </row>
    <row r="277">
      <c r="F277" s="53"/>
    </row>
    <row r="278">
      <c r="F278" s="53"/>
    </row>
    <row r="279">
      <c r="F279" s="53"/>
    </row>
    <row r="280">
      <c r="F280" s="53"/>
    </row>
    <row r="281">
      <c r="F281" s="53"/>
    </row>
    <row r="282">
      <c r="F282" s="53"/>
    </row>
    <row r="283">
      <c r="F283" s="53"/>
    </row>
    <row r="284">
      <c r="F284" s="53"/>
    </row>
    <row r="285">
      <c r="F285" s="53"/>
    </row>
    <row r="286">
      <c r="F286" s="53"/>
    </row>
    <row r="287">
      <c r="F287" s="53"/>
    </row>
    <row r="288">
      <c r="F288" s="53"/>
    </row>
    <row r="289">
      <c r="F289" s="53"/>
    </row>
    <row r="290">
      <c r="F290" s="53"/>
    </row>
    <row r="291">
      <c r="F291" s="53"/>
    </row>
    <row r="292">
      <c r="F292" s="53"/>
    </row>
    <row r="293">
      <c r="F293" s="53"/>
    </row>
    <row r="294">
      <c r="F294" s="53"/>
    </row>
    <row r="295">
      <c r="F295" s="53"/>
    </row>
    <row r="296">
      <c r="F296" s="53"/>
    </row>
    <row r="297">
      <c r="F297" s="53"/>
    </row>
    <row r="298">
      <c r="F298" s="53"/>
    </row>
    <row r="299">
      <c r="F299" s="53"/>
    </row>
    <row r="300">
      <c r="F300" s="53"/>
    </row>
    <row r="301">
      <c r="F301" s="53"/>
    </row>
    <row r="302">
      <c r="F302" s="53"/>
    </row>
    <row r="303">
      <c r="F303" s="53"/>
    </row>
    <row r="304">
      <c r="F304" s="53"/>
    </row>
    <row r="305">
      <c r="F305" s="53"/>
    </row>
    <row r="306">
      <c r="F306" s="53"/>
    </row>
    <row r="307">
      <c r="F307" s="53"/>
    </row>
    <row r="308">
      <c r="F308" s="53"/>
    </row>
    <row r="309">
      <c r="F309" s="53"/>
    </row>
    <row r="310">
      <c r="F310" s="53"/>
    </row>
    <row r="311">
      <c r="F311" s="53"/>
    </row>
    <row r="312">
      <c r="F312" s="53"/>
    </row>
    <row r="313">
      <c r="F313" s="53"/>
    </row>
    <row r="314">
      <c r="F314" s="53"/>
    </row>
    <row r="315">
      <c r="F315" s="53"/>
    </row>
    <row r="316">
      <c r="F316" s="53"/>
    </row>
    <row r="317">
      <c r="F317" s="53"/>
    </row>
    <row r="318">
      <c r="F318" s="53"/>
    </row>
    <row r="319">
      <c r="F319" s="53"/>
    </row>
    <row r="320">
      <c r="F320" s="53"/>
    </row>
    <row r="321">
      <c r="F321" s="53"/>
    </row>
    <row r="322">
      <c r="F322" s="53"/>
    </row>
    <row r="323">
      <c r="F323" s="53"/>
    </row>
    <row r="324">
      <c r="F324" s="53"/>
    </row>
    <row r="325">
      <c r="F325" s="53"/>
    </row>
    <row r="326">
      <c r="F326" s="53"/>
    </row>
    <row r="327">
      <c r="F327" s="53"/>
    </row>
    <row r="328">
      <c r="F328" s="53"/>
    </row>
    <row r="329">
      <c r="F329" s="53"/>
    </row>
    <row r="330">
      <c r="F330" s="53"/>
    </row>
    <row r="331">
      <c r="F331" s="53"/>
    </row>
    <row r="332">
      <c r="F332" s="53"/>
    </row>
    <row r="333">
      <c r="F333" s="53"/>
    </row>
    <row r="334">
      <c r="F334" s="53"/>
    </row>
    <row r="335">
      <c r="F335" s="53"/>
    </row>
    <row r="336">
      <c r="F336" s="53"/>
    </row>
    <row r="337">
      <c r="F337" s="53"/>
    </row>
    <row r="338">
      <c r="F338" s="53"/>
    </row>
    <row r="339">
      <c r="F339" s="53"/>
    </row>
    <row r="340">
      <c r="F340" s="53"/>
    </row>
    <row r="341">
      <c r="F341" s="53"/>
    </row>
    <row r="342">
      <c r="F342" s="53"/>
    </row>
    <row r="343">
      <c r="F343" s="53"/>
    </row>
    <row r="344">
      <c r="F344" s="53"/>
    </row>
    <row r="345">
      <c r="F345" s="53"/>
    </row>
    <row r="346">
      <c r="F346" s="53"/>
    </row>
    <row r="347">
      <c r="F347" s="53"/>
    </row>
    <row r="348">
      <c r="F348" s="53"/>
    </row>
    <row r="349">
      <c r="F349" s="53"/>
    </row>
    <row r="350">
      <c r="F350" s="53"/>
    </row>
    <row r="351">
      <c r="F351" s="53"/>
    </row>
    <row r="352">
      <c r="F352" s="53"/>
    </row>
    <row r="353">
      <c r="F353" s="53"/>
    </row>
    <row r="354">
      <c r="F354" s="53"/>
    </row>
    <row r="355">
      <c r="F355" s="53"/>
    </row>
    <row r="356">
      <c r="F356" s="53"/>
    </row>
    <row r="357">
      <c r="F357" s="53"/>
    </row>
    <row r="358">
      <c r="F358" s="53"/>
    </row>
    <row r="359">
      <c r="F359" s="53"/>
    </row>
    <row r="360">
      <c r="F360" s="53"/>
    </row>
    <row r="361">
      <c r="F361" s="53"/>
    </row>
    <row r="362">
      <c r="F362" s="53"/>
    </row>
    <row r="363">
      <c r="F363" s="53"/>
    </row>
    <row r="364">
      <c r="F364" s="53"/>
    </row>
    <row r="365">
      <c r="F365" s="53"/>
    </row>
    <row r="366">
      <c r="F366" s="53"/>
    </row>
    <row r="367">
      <c r="F367" s="53"/>
    </row>
    <row r="368">
      <c r="F368" s="53"/>
    </row>
    <row r="369">
      <c r="F369" s="53"/>
    </row>
    <row r="370">
      <c r="F370" s="53"/>
    </row>
    <row r="371">
      <c r="F371" s="53"/>
    </row>
    <row r="372">
      <c r="F372" s="53"/>
    </row>
    <row r="373">
      <c r="F373" s="53"/>
    </row>
    <row r="374">
      <c r="F374" s="53"/>
    </row>
    <row r="375">
      <c r="F375" s="53"/>
    </row>
    <row r="376">
      <c r="F376" s="53"/>
    </row>
    <row r="377">
      <c r="F377" s="53"/>
    </row>
    <row r="378">
      <c r="F378" s="53"/>
    </row>
    <row r="379">
      <c r="F379" s="53"/>
    </row>
    <row r="380">
      <c r="F380" s="53"/>
    </row>
    <row r="381">
      <c r="F381" s="53"/>
    </row>
    <row r="382">
      <c r="F382" s="53"/>
    </row>
    <row r="383">
      <c r="F383" s="53"/>
    </row>
    <row r="384">
      <c r="F384" s="53"/>
    </row>
    <row r="385">
      <c r="F385" s="53"/>
    </row>
    <row r="386">
      <c r="F386" s="53"/>
    </row>
    <row r="387">
      <c r="F387" s="53"/>
    </row>
    <row r="388">
      <c r="F388" s="53"/>
    </row>
    <row r="389">
      <c r="F389" s="53"/>
    </row>
    <row r="390">
      <c r="F390" s="53"/>
    </row>
    <row r="391">
      <c r="F391" s="53"/>
    </row>
    <row r="392">
      <c r="F392" s="53"/>
    </row>
    <row r="393">
      <c r="F393" s="53"/>
    </row>
    <row r="394">
      <c r="F394" s="53"/>
    </row>
    <row r="395">
      <c r="F395" s="53"/>
    </row>
    <row r="396">
      <c r="F396" s="53"/>
    </row>
    <row r="397">
      <c r="F397" s="53"/>
    </row>
    <row r="398">
      <c r="F398" s="53"/>
    </row>
    <row r="399">
      <c r="F399" s="53"/>
    </row>
    <row r="400">
      <c r="F400" s="53"/>
    </row>
    <row r="401">
      <c r="F401" s="53"/>
    </row>
    <row r="402">
      <c r="F402" s="53"/>
    </row>
    <row r="403">
      <c r="F403" s="53"/>
    </row>
    <row r="404">
      <c r="F404" s="53"/>
    </row>
    <row r="405">
      <c r="F405" s="53"/>
    </row>
    <row r="406">
      <c r="F406" s="53"/>
    </row>
    <row r="407">
      <c r="F407" s="53"/>
    </row>
    <row r="408">
      <c r="F408" s="53"/>
    </row>
    <row r="409">
      <c r="F409" s="53"/>
    </row>
    <row r="410">
      <c r="F410" s="53"/>
    </row>
    <row r="411">
      <c r="F411" s="53"/>
    </row>
    <row r="412">
      <c r="F412" s="53"/>
    </row>
    <row r="413">
      <c r="F413" s="53"/>
    </row>
    <row r="414">
      <c r="F414" s="53"/>
    </row>
    <row r="415">
      <c r="F415" s="53"/>
    </row>
    <row r="416">
      <c r="F416" s="53"/>
    </row>
    <row r="417">
      <c r="F417" s="53"/>
    </row>
    <row r="418">
      <c r="F418" s="53"/>
    </row>
    <row r="419">
      <c r="F419" s="53"/>
    </row>
    <row r="420">
      <c r="F420" s="53"/>
    </row>
    <row r="421">
      <c r="F421" s="53"/>
    </row>
    <row r="422">
      <c r="F422" s="53"/>
    </row>
    <row r="423">
      <c r="F423" s="53"/>
    </row>
    <row r="424">
      <c r="F424" s="53"/>
    </row>
    <row r="425">
      <c r="F425" s="53"/>
    </row>
    <row r="426">
      <c r="F426" s="53"/>
    </row>
    <row r="427">
      <c r="F427" s="53"/>
    </row>
    <row r="428">
      <c r="F428" s="53"/>
    </row>
    <row r="429">
      <c r="F429" s="53"/>
    </row>
    <row r="430">
      <c r="F430" s="53"/>
    </row>
    <row r="431">
      <c r="F431" s="53"/>
    </row>
    <row r="432">
      <c r="F432" s="53"/>
    </row>
    <row r="433">
      <c r="F433" s="53"/>
    </row>
    <row r="434">
      <c r="F434" s="53"/>
    </row>
    <row r="435">
      <c r="F435" s="53"/>
    </row>
    <row r="436">
      <c r="F436" s="53"/>
    </row>
    <row r="437">
      <c r="F437" s="53"/>
    </row>
    <row r="438">
      <c r="F438" s="53"/>
    </row>
    <row r="439">
      <c r="F439" s="53"/>
    </row>
    <row r="440">
      <c r="F440" s="53"/>
    </row>
    <row r="441">
      <c r="F441" s="53"/>
    </row>
    <row r="442">
      <c r="F442" s="53"/>
    </row>
    <row r="443">
      <c r="F443" s="53"/>
    </row>
    <row r="444">
      <c r="F444" s="53"/>
    </row>
    <row r="445">
      <c r="F445" s="53"/>
    </row>
    <row r="446">
      <c r="F446" s="53"/>
    </row>
    <row r="447">
      <c r="F447" s="53"/>
    </row>
    <row r="448">
      <c r="F448" s="53"/>
    </row>
    <row r="449">
      <c r="F449" s="53"/>
    </row>
    <row r="450">
      <c r="F450" s="53"/>
    </row>
    <row r="451">
      <c r="F451" s="53"/>
    </row>
    <row r="452">
      <c r="F452" s="53"/>
    </row>
    <row r="453">
      <c r="F453" s="53"/>
    </row>
    <row r="454">
      <c r="F454" s="53"/>
    </row>
    <row r="455">
      <c r="F455" s="53"/>
    </row>
    <row r="456">
      <c r="F456" s="53"/>
    </row>
    <row r="457">
      <c r="F457" s="53"/>
    </row>
    <row r="458">
      <c r="F458" s="53"/>
    </row>
    <row r="459">
      <c r="F459" s="53"/>
    </row>
    <row r="460">
      <c r="F460" s="53"/>
    </row>
    <row r="461">
      <c r="F461" s="53"/>
    </row>
    <row r="462">
      <c r="F462" s="53"/>
    </row>
    <row r="463">
      <c r="F463" s="53"/>
    </row>
    <row r="464">
      <c r="F464" s="53"/>
    </row>
    <row r="465">
      <c r="F465" s="53"/>
    </row>
    <row r="466">
      <c r="F466" s="53"/>
    </row>
    <row r="467">
      <c r="F467" s="53"/>
    </row>
    <row r="468">
      <c r="F468" s="53"/>
    </row>
    <row r="469">
      <c r="F469" s="53"/>
    </row>
    <row r="470">
      <c r="F470" s="53"/>
    </row>
    <row r="471">
      <c r="F471" s="53"/>
    </row>
    <row r="472">
      <c r="F472" s="53"/>
    </row>
    <row r="473">
      <c r="F473" s="53"/>
    </row>
    <row r="474">
      <c r="F474" s="53"/>
    </row>
    <row r="475">
      <c r="F475" s="53"/>
    </row>
    <row r="476">
      <c r="F476" s="53"/>
    </row>
    <row r="477">
      <c r="F477" s="53"/>
    </row>
    <row r="478">
      <c r="F478" s="53"/>
    </row>
    <row r="479">
      <c r="F479" s="53"/>
    </row>
    <row r="480">
      <c r="F480" s="53"/>
    </row>
    <row r="481">
      <c r="F481" s="53"/>
    </row>
    <row r="482">
      <c r="F482" s="53"/>
    </row>
    <row r="483">
      <c r="F483" s="53"/>
    </row>
    <row r="484">
      <c r="F484" s="53"/>
    </row>
    <row r="485">
      <c r="F485" s="53"/>
    </row>
    <row r="486">
      <c r="F486" s="53"/>
    </row>
    <row r="487">
      <c r="F487" s="53"/>
    </row>
    <row r="488">
      <c r="F488" s="53"/>
    </row>
    <row r="489">
      <c r="F489" s="53"/>
    </row>
    <row r="490">
      <c r="F490" s="53"/>
    </row>
    <row r="491">
      <c r="F491" s="53"/>
    </row>
    <row r="492">
      <c r="F492" s="53"/>
    </row>
    <row r="493">
      <c r="F493" s="53"/>
    </row>
    <row r="494">
      <c r="F494" s="53"/>
    </row>
    <row r="495">
      <c r="F495" s="53"/>
    </row>
    <row r="496">
      <c r="F496" s="53"/>
    </row>
    <row r="497">
      <c r="F497" s="53"/>
    </row>
    <row r="498">
      <c r="F498" s="53"/>
    </row>
    <row r="499">
      <c r="F499" s="53"/>
    </row>
    <row r="500">
      <c r="F500" s="53"/>
    </row>
    <row r="501">
      <c r="F501" s="53"/>
    </row>
    <row r="502">
      <c r="F502" s="53"/>
    </row>
    <row r="503">
      <c r="F503" s="53"/>
    </row>
    <row r="504">
      <c r="F504" s="53"/>
    </row>
    <row r="505">
      <c r="F505" s="53"/>
    </row>
    <row r="506">
      <c r="F506" s="53"/>
    </row>
    <row r="507">
      <c r="F507" s="53"/>
    </row>
    <row r="508">
      <c r="F508" s="53"/>
    </row>
    <row r="509">
      <c r="F509" s="53"/>
    </row>
    <row r="510">
      <c r="F510" s="53"/>
    </row>
    <row r="511">
      <c r="F511" s="53"/>
    </row>
    <row r="512">
      <c r="F512" s="53"/>
    </row>
    <row r="513">
      <c r="F513" s="53"/>
    </row>
    <row r="514">
      <c r="F514" s="53"/>
    </row>
    <row r="515">
      <c r="F515" s="53"/>
    </row>
    <row r="516">
      <c r="F516" s="53"/>
    </row>
    <row r="517">
      <c r="F517" s="53"/>
    </row>
    <row r="518">
      <c r="F518" s="53"/>
    </row>
    <row r="519">
      <c r="F519" s="53"/>
    </row>
    <row r="520">
      <c r="F520" s="53"/>
    </row>
    <row r="521">
      <c r="F521" s="53"/>
    </row>
    <row r="522">
      <c r="F522" s="53"/>
    </row>
    <row r="523">
      <c r="F523" s="53"/>
    </row>
    <row r="524">
      <c r="F524" s="53"/>
    </row>
    <row r="525">
      <c r="F525" s="53"/>
    </row>
    <row r="526">
      <c r="F526" s="53"/>
    </row>
    <row r="527">
      <c r="F527" s="53"/>
    </row>
    <row r="528">
      <c r="F528" s="53"/>
    </row>
    <row r="529">
      <c r="F529" s="53"/>
    </row>
    <row r="530">
      <c r="F530" s="53"/>
    </row>
    <row r="531">
      <c r="F531" s="53"/>
    </row>
    <row r="532">
      <c r="F532" s="53"/>
    </row>
    <row r="533">
      <c r="F533" s="53"/>
    </row>
    <row r="534">
      <c r="F534" s="53"/>
    </row>
    <row r="535">
      <c r="F535" s="53"/>
    </row>
    <row r="536">
      <c r="F536" s="53"/>
    </row>
    <row r="537">
      <c r="F537" s="53"/>
    </row>
    <row r="538">
      <c r="F538" s="53"/>
    </row>
    <row r="539">
      <c r="F539" s="53"/>
    </row>
    <row r="540">
      <c r="F540" s="53"/>
    </row>
    <row r="541">
      <c r="F541" s="53"/>
    </row>
    <row r="542">
      <c r="F542" s="53"/>
    </row>
    <row r="543">
      <c r="F543" s="53"/>
    </row>
    <row r="544">
      <c r="F544" s="53"/>
    </row>
    <row r="545">
      <c r="F545" s="53"/>
    </row>
    <row r="546">
      <c r="F546" s="53"/>
    </row>
    <row r="547">
      <c r="F547" s="53"/>
    </row>
    <row r="548">
      <c r="F548" s="53"/>
    </row>
    <row r="549">
      <c r="F549" s="53"/>
    </row>
    <row r="550">
      <c r="F550" s="53"/>
    </row>
    <row r="551">
      <c r="F551" s="53"/>
    </row>
    <row r="552">
      <c r="F552" s="53"/>
    </row>
    <row r="553">
      <c r="F553" s="53"/>
    </row>
    <row r="554">
      <c r="F554" s="53"/>
    </row>
    <row r="555">
      <c r="F555" s="53"/>
    </row>
    <row r="556">
      <c r="F556" s="53"/>
    </row>
    <row r="557">
      <c r="F557" s="53"/>
    </row>
    <row r="558">
      <c r="F558" s="53"/>
    </row>
    <row r="559">
      <c r="F559" s="53"/>
    </row>
    <row r="560">
      <c r="F560" s="53"/>
    </row>
    <row r="561">
      <c r="F561" s="53"/>
    </row>
    <row r="562">
      <c r="F562" s="53"/>
    </row>
    <row r="563">
      <c r="F563" s="53"/>
    </row>
    <row r="564">
      <c r="F564" s="53"/>
    </row>
    <row r="565">
      <c r="F565" s="53"/>
    </row>
    <row r="566">
      <c r="F566" s="53"/>
    </row>
    <row r="567">
      <c r="F567" s="53"/>
    </row>
    <row r="568">
      <c r="F568" s="53"/>
    </row>
    <row r="569">
      <c r="F569" s="53"/>
    </row>
    <row r="570">
      <c r="F570" s="53"/>
    </row>
    <row r="571">
      <c r="F571" s="53"/>
    </row>
    <row r="572">
      <c r="F572" s="53"/>
    </row>
    <row r="573">
      <c r="F573" s="53"/>
    </row>
    <row r="574">
      <c r="F574" s="53"/>
    </row>
    <row r="575">
      <c r="F575" s="53"/>
    </row>
    <row r="576">
      <c r="F576" s="53"/>
    </row>
    <row r="577">
      <c r="F577" s="53"/>
    </row>
    <row r="578">
      <c r="F578" s="53"/>
    </row>
    <row r="579">
      <c r="F579" s="53"/>
    </row>
    <row r="580">
      <c r="F580" s="53"/>
    </row>
    <row r="581">
      <c r="F581" s="53"/>
    </row>
    <row r="582">
      <c r="F582" s="53"/>
    </row>
    <row r="583">
      <c r="F583" s="53"/>
    </row>
    <row r="584">
      <c r="F584" s="53"/>
    </row>
    <row r="585">
      <c r="F585" s="53"/>
    </row>
    <row r="586">
      <c r="F586" s="53"/>
    </row>
    <row r="587">
      <c r="F587" s="53"/>
    </row>
    <row r="588">
      <c r="F588" s="53"/>
    </row>
    <row r="589">
      <c r="F589" s="53"/>
    </row>
    <row r="590">
      <c r="F590" s="53"/>
    </row>
    <row r="591">
      <c r="F591" s="53"/>
    </row>
    <row r="592">
      <c r="F592" s="53"/>
    </row>
    <row r="593">
      <c r="F593" s="53"/>
    </row>
    <row r="594">
      <c r="F594" s="53"/>
    </row>
    <row r="595">
      <c r="F595" s="53"/>
    </row>
    <row r="596">
      <c r="F596" s="53"/>
    </row>
    <row r="597">
      <c r="F597" s="53"/>
    </row>
    <row r="598">
      <c r="F598" s="53"/>
    </row>
    <row r="599">
      <c r="F599" s="53"/>
    </row>
    <row r="600">
      <c r="F600" s="53"/>
    </row>
    <row r="601">
      <c r="F601" s="53"/>
    </row>
    <row r="602">
      <c r="F602" s="53"/>
    </row>
    <row r="603">
      <c r="F603" s="53"/>
    </row>
    <row r="604">
      <c r="F604" s="53"/>
    </row>
    <row r="605">
      <c r="F605" s="53"/>
    </row>
    <row r="606">
      <c r="F606" s="53"/>
    </row>
    <row r="607">
      <c r="F607" s="53"/>
    </row>
    <row r="608">
      <c r="F608" s="53"/>
    </row>
    <row r="609">
      <c r="F609" s="53"/>
    </row>
    <row r="610">
      <c r="F610" s="53"/>
    </row>
    <row r="611">
      <c r="F611" s="53"/>
    </row>
    <row r="612">
      <c r="F612" s="53"/>
    </row>
    <row r="613">
      <c r="F613" s="53"/>
    </row>
    <row r="614">
      <c r="F614" s="53"/>
    </row>
    <row r="615">
      <c r="F615" s="53"/>
    </row>
    <row r="616">
      <c r="F616" s="53"/>
    </row>
    <row r="617">
      <c r="F617" s="53"/>
    </row>
    <row r="618">
      <c r="F618" s="53"/>
    </row>
    <row r="619">
      <c r="F619" s="53"/>
    </row>
    <row r="620">
      <c r="F620" s="53"/>
    </row>
    <row r="621">
      <c r="F621" s="53"/>
    </row>
    <row r="622">
      <c r="F622" s="53"/>
    </row>
    <row r="623">
      <c r="F623" s="53"/>
    </row>
    <row r="624">
      <c r="F624" s="53"/>
    </row>
    <row r="625">
      <c r="F625" s="53"/>
    </row>
    <row r="626">
      <c r="F626" s="53"/>
    </row>
    <row r="627">
      <c r="F627" s="53"/>
    </row>
    <row r="628">
      <c r="F628" s="53"/>
    </row>
    <row r="629">
      <c r="F629" s="53"/>
    </row>
    <row r="630">
      <c r="F630" s="53"/>
    </row>
    <row r="631">
      <c r="F631" s="53"/>
    </row>
    <row r="632">
      <c r="F632" s="53"/>
    </row>
    <row r="633">
      <c r="F633" s="53"/>
    </row>
    <row r="634">
      <c r="F634" s="53"/>
    </row>
    <row r="635">
      <c r="F635" s="53"/>
    </row>
    <row r="636">
      <c r="F636" s="53"/>
    </row>
    <row r="637">
      <c r="F637" s="53"/>
    </row>
    <row r="638">
      <c r="F638" s="53"/>
    </row>
    <row r="639">
      <c r="F639" s="53"/>
    </row>
    <row r="640">
      <c r="F640" s="53"/>
    </row>
    <row r="641">
      <c r="F641" s="53"/>
    </row>
    <row r="642">
      <c r="F642" s="53"/>
    </row>
    <row r="643">
      <c r="F643" s="53"/>
    </row>
    <row r="644">
      <c r="F644" s="53"/>
    </row>
    <row r="645">
      <c r="F645" s="53"/>
    </row>
    <row r="646">
      <c r="F646" s="53"/>
    </row>
    <row r="647">
      <c r="F647" s="53"/>
    </row>
    <row r="648">
      <c r="F648" s="53"/>
    </row>
    <row r="649">
      <c r="F649" s="53"/>
    </row>
    <row r="650">
      <c r="F650" s="53"/>
    </row>
    <row r="651">
      <c r="F651" s="53"/>
    </row>
    <row r="652">
      <c r="F652" s="53"/>
    </row>
    <row r="653">
      <c r="F653" s="53"/>
    </row>
    <row r="654">
      <c r="F654" s="53"/>
    </row>
    <row r="655">
      <c r="F655" s="53"/>
    </row>
    <row r="656">
      <c r="F656" s="53"/>
    </row>
    <row r="657">
      <c r="F657" s="53"/>
    </row>
    <row r="658">
      <c r="F658" s="53"/>
    </row>
    <row r="659">
      <c r="F659" s="53"/>
    </row>
    <row r="660">
      <c r="F660" s="53"/>
    </row>
    <row r="661">
      <c r="F661" s="53"/>
    </row>
    <row r="662">
      <c r="F662" s="53"/>
    </row>
    <row r="663">
      <c r="F663" s="53"/>
    </row>
    <row r="664">
      <c r="F664" s="53"/>
    </row>
    <row r="665">
      <c r="F665" s="53"/>
    </row>
    <row r="666">
      <c r="F666" s="53"/>
    </row>
    <row r="667">
      <c r="F667" s="53"/>
    </row>
    <row r="668">
      <c r="F668" s="53"/>
    </row>
    <row r="669">
      <c r="F669" s="53"/>
    </row>
    <row r="670">
      <c r="F670" s="53"/>
    </row>
    <row r="671">
      <c r="F671" s="53"/>
    </row>
    <row r="672">
      <c r="F672" s="53"/>
    </row>
    <row r="673">
      <c r="F673" s="53"/>
    </row>
    <row r="674">
      <c r="F674" s="53"/>
    </row>
    <row r="675">
      <c r="F675" s="53"/>
    </row>
    <row r="676">
      <c r="F676" s="53"/>
    </row>
    <row r="677">
      <c r="F677" s="53"/>
    </row>
    <row r="678">
      <c r="F678" s="53"/>
    </row>
    <row r="679">
      <c r="F679" s="53"/>
    </row>
    <row r="680">
      <c r="F680" s="53"/>
    </row>
    <row r="681">
      <c r="F681" s="53"/>
    </row>
    <row r="682">
      <c r="F682" s="53"/>
    </row>
    <row r="683">
      <c r="F683" s="53"/>
    </row>
    <row r="684">
      <c r="F684" s="53"/>
    </row>
    <row r="685">
      <c r="F685" s="53"/>
    </row>
    <row r="686">
      <c r="F686" s="53"/>
    </row>
    <row r="687">
      <c r="F687" s="53"/>
    </row>
    <row r="688">
      <c r="F688" s="53"/>
    </row>
    <row r="689">
      <c r="F689" s="53"/>
    </row>
    <row r="690">
      <c r="F690" s="53"/>
    </row>
    <row r="691">
      <c r="F691" s="53"/>
    </row>
    <row r="692">
      <c r="F692" s="53"/>
    </row>
    <row r="693">
      <c r="F693" s="53"/>
    </row>
    <row r="694">
      <c r="F694" s="53"/>
    </row>
    <row r="695">
      <c r="F695" s="53"/>
    </row>
    <row r="696">
      <c r="F696" s="53"/>
    </row>
    <row r="697">
      <c r="F697" s="53"/>
    </row>
    <row r="698">
      <c r="F698" s="53"/>
    </row>
    <row r="699">
      <c r="F699" s="53"/>
    </row>
    <row r="700">
      <c r="F700" s="53"/>
    </row>
    <row r="701">
      <c r="F701" s="53"/>
    </row>
    <row r="702">
      <c r="F702" s="53"/>
    </row>
    <row r="703">
      <c r="F703" s="53"/>
    </row>
    <row r="704">
      <c r="F704" s="53"/>
    </row>
    <row r="705">
      <c r="F705" s="53"/>
    </row>
    <row r="706">
      <c r="F706" s="53"/>
    </row>
    <row r="707">
      <c r="F707" s="53"/>
    </row>
    <row r="708">
      <c r="F708" s="53"/>
    </row>
    <row r="709">
      <c r="F709" s="53"/>
    </row>
    <row r="710">
      <c r="F710" s="53"/>
    </row>
    <row r="711">
      <c r="F711" s="53"/>
    </row>
    <row r="712">
      <c r="F712" s="53"/>
    </row>
    <row r="713">
      <c r="F713" s="53"/>
    </row>
    <row r="714">
      <c r="F714" s="53"/>
    </row>
    <row r="715">
      <c r="F715" s="53"/>
    </row>
    <row r="716">
      <c r="F716" s="53"/>
    </row>
    <row r="717">
      <c r="F717" s="53"/>
    </row>
    <row r="718">
      <c r="F718" s="53"/>
    </row>
    <row r="719">
      <c r="F719" s="53"/>
    </row>
    <row r="720">
      <c r="F720" s="53"/>
    </row>
    <row r="721">
      <c r="F721" s="53"/>
    </row>
    <row r="722">
      <c r="F722" s="53"/>
    </row>
    <row r="723">
      <c r="F723" s="53"/>
    </row>
    <row r="724">
      <c r="F724" s="53"/>
    </row>
    <row r="725">
      <c r="F725" s="53"/>
    </row>
    <row r="726">
      <c r="F726" s="53"/>
    </row>
    <row r="727">
      <c r="F727" s="53"/>
    </row>
    <row r="728">
      <c r="F728" s="53"/>
    </row>
    <row r="729">
      <c r="F729" s="53"/>
    </row>
    <row r="730">
      <c r="F730" s="53"/>
    </row>
    <row r="731">
      <c r="F731" s="53"/>
    </row>
    <row r="732">
      <c r="F732" s="53"/>
    </row>
    <row r="733">
      <c r="F733" s="53"/>
    </row>
    <row r="734">
      <c r="F734" s="53"/>
    </row>
    <row r="735">
      <c r="F735" s="53"/>
    </row>
    <row r="736">
      <c r="F736" s="53"/>
    </row>
    <row r="737">
      <c r="F737" s="53"/>
    </row>
    <row r="738">
      <c r="F738" s="53"/>
    </row>
    <row r="739">
      <c r="F739" s="53"/>
    </row>
    <row r="740">
      <c r="F740" s="53"/>
    </row>
    <row r="741">
      <c r="F741" s="53"/>
    </row>
    <row r="742">
      <c r="F742" s="53"/>
    </row>
    <row r="743">
      <c r="F743" s="53"/>
    </row>
    <row r="744">
      <c r="F744" s="53"/>
    </row>
    <row r="745">
      <c r="F745" s="53"/>
    </row>
    <row r="746">
      <c r="F746" s="53"/>
    </row>
    <row r="747">
      <c r="F747" s="53"/>
    </row>
    <row r="748">
      <c r="F748" s="53"/>
    </row>
    <row r="749">
      <c r="F749" s="53"/>
    </row>
    <row r="750">
      <c r="F750" s="53"/>
    </row>
    <row r="751">
      <c r="F751" s="53"/>
    </row>
    <row r="752">
      <c r="F752" s="53"/>
    </row>
    <row r="753">
      <c r="F753" s="53"/>
    </row>
    <row r="754">
      <c r="F754" s="53"/>
    </row>
    <row r="755">
      <c r="F755" s="53"/>
    </row>
    <row r="756">
      <c r="F756" s="53"/>
    </row>
    <row r="757">
      <c r="F757" s="53"/>
    </row>
    <row r="758">
      <c r="F758" s="53"/>
    </row>
    <row r="759">
      <c r="F759" s="53"/>
    </row>
    <row r="760">
      <c r="F760" s="53"/>
    </row>
    <row r="761">
      <c r="F761" s="53"/>
    </row>
    <row r="762">
      <c r="F762" s="53"/>
    </row>
    <row r="763">
      <c r="F763" s="53"/>
    </row>
    <row r="764">
      <c r="F764" s="53"/>
    </row>
    <row r="765">
      <c r="F765" s="53"/>
    </row>
    <row r="766">
      <c r="F766" s="53"/>
    </row>
    <row r="767">
      <c r="F767" s="53"/>
    </row>
    <row r="768">
      <c r="F768" s="53"/>
    </row>
    <row r="769">
      <c r="F769" s="53"/>
    </row>
    <row r="770">
      <c r="F770" s="53"/>
    </row>
    <row r="771">
      <c r="F771" s="53"/>
    </row>
    <row r="772">
      <c r="F772" s="53"/>
    </row>
    <row r="773">
      <c r="F773" s="53"/>
    </row>
    <row r="774">
      <c r="F774" s="53"/>
    </row>
    <row r="775">
      <c r="F775" s="53"/>
    </row>
    <row r="776">
      <c r="F776" s="53"/>
    </row>
    <row r="777">
      <c r="F777" s="53"/>
    </row>
    <row r="778">
      <c r="F778" s="53"/>
    </row>
    <row r="779">
      <c r="F779" s="53"/>
    </row>
    <row r="780">
      <c r="F780" s="53"/>
    </row>
    <row r="781">
      <c r="F781" s="53"/>
    </row>
    <row r="782">
      <c r="F782" s="53"/>
    </row>
    <row r="783">
      <c r="F783" s="53"/>
    </row>
    <row r="784">
      <c r="F784" s="53"/>
    </row>
    <row r="785">
      <c r="F785" s="53"/>
    </row>
    <row r="786">
      <c r="F786" s="53"/>
    </row>
    <row r="787">
      <c r="F787" s="53"/>
    </row>
    <row r="788">
      <c r="F788" s="53"/>
    </row>
    <row r="789">
      <c r="F789" s="53"/>
    </row>
    <row r="790">
      <c r="F790" s="53"/>
    </row>
    <row r="791">
      <c r="F791" s="53"/>
    </row>
    <row r="792">
      <c r="F792" s="53"/>
    </row>
    <row r="793">
      <c r="F793" s="53"/>
    </row>
    <row r="794">
      <c r="F794" s="53"/>
    </row>
    <row r="795">
      <c r="F795" s="53"/>
    </row>
    <row r="796">
      <c r="F796" s="53"/>
    </row>
    <row r="797">
      <c r="F797" s="53"/>
    </row>
    <row r="798">
      <c r="F798" s="53"/>
    </row>
    <row r="799">
      <c r="F799" s="53"/>
    </row>
    <row r="800">
      <c r="F800" s="53"/>
    </row>
    <row r="801">
      <c r="F801" s="53"/>
    </row>
    <row r="802">
      <c r="F802" s="53"/>
    </row>
    <row r="803">
      <c r="F803" s="53"/>
    </row>
    <row r="804">
      <c r="F804" s="53"/>
    </row>
    <row r="805">
      <c r="F805" s="53"/>
    </row>
    <row r="806">
      <c r="F806" s="53"/>
    </row>
    <row r="807">
      <c r="F807" s="53"/>
    </row>
    <row r="808">
      <c r="F808" s="53"/>
    </row>
    <row r="809">
      <c r="F809" s="53"/>
    </row>
    <row r="810">
      <c r="F810" s="53"/>
    </row>
    <row r="811">
      <c r="F811" s="53"/>
    </row>
    <row r="812">
      <c r="F812" s="53"/>
    </row>
    <row r="813">
      <c r="F813" s="53"/>
    </row>
    <row r="814">
      <c r="F814" s="53"/>
    </row>
    <row r="815">
      <c r="F815" s="53"/>
    </row>
    <row r="816">
      <c r="F816" s="53"/>
    </row>
    <row r="817">
      <c r="F817" s="53"/>
    </row>
    <row r="818">
      <c r="F818" s="53"/>
    </row>
    <row r="819">
      <c r="F819" s="53"/>
    </row>
    <row r="820">
      <c r="F820" s="53"/>
    </row>
    <row r="821">
      <c r="F821" s="53"/>
    </row>
    <row r="822">
      <c r="F822" s="53"/>
    </row>
    <row r="823">
      <c r="F823" s="53"/>
    </row>
    <row r="824">
      <c r="F824" s="53"/>
    </row>
    <row r="825">
      <c r="F825" s="53"/>
    </row>
    <row r="826">
      <c r="F826" s="53"/>
    </row>
    <row r="827">
      <c r="F827" s="53"/>
    </row>
    <row r="828">
      <c r="F828" s="53"/>
    </row>
    <row r="829">
      <c r="F829" s="53"/>
    </row>
    <row r="830">
      <c r="F830" s="53"/>
    </row>
    <row r="831">
      <c r="F831" s="53"/>
    </row>
    <row r="832">
      <c r="F832" s="53"/>
    </row>
    <row r="833">
      <c r="F833" s="53"/>
    </row>
    <row r="834">
      <c r="F834" s="53"/>
    </row>
    <row r="835">
      <c r="F835" s="53"/>
    </row>
    <row r="836">
      <c r="F836" s="53"/>
    </row>
    <row r="837">
      <c r="F837" s="53"/>
    </row>
    <row r="838">
      <c r="F838" s="53"/>
    </row>
    <row r="839">
      <c r="F839" s="53"/>
    </row>
    <row r="840">
      <c r="F840" s="53"/>
    </row>
    <row r="841">
      <c r="F841" s="53"/>
    </row>
    <row r="842">
      <c r="F842" s="53"/>
    </row>
    <row r="843">
      <c r="F843" s="53"/>
    </row>
    <row r="844">
      <c r="F844" s="53"/>
    </row>
    <row r="845">
      <c r="F845" s="53"/>
    </row>
    <row r="846">
      <c r="F846" s="53"/>
    </row>
    <row r="847">
      <c r="F847" s="53"/>
    </row>
    <row r="848">
      <c r="F848" s="53"/>
    </row>
    <row r="849">
      <c r="F849" s="53"/>
    </row>
    <row r="850">
      <c r="F850" s="53"/>
    </row>
    <row r="851">
      <c r="F851" s="53"/>
    </row>
    <row r="852">
      <c r="F852" s="53"/>
    </row>
    <row r="853">
      <c r="F853" s="53"/>
    </row>
    <row r="854">
      <c r="F854" s="53"/>
    </row>
    <row r="855">
      <c r="F855" s="53"/>
    </row>
    <row r="856">
      <c r="F856" s="53"/>
    </row>
    <row r="857">
      <c r="F857" s="53"/>
    </row>
    <row r="858">
      <c r="F858" s="53"/>
    </row>
    <row r="859">
      <c r="F859" s="53"/>
    </row>
    <row r="860">
      <c r="F860" s="53"/>
    </row>
    <row r="861">
      <c r="F861" s="53"/>
    </row>
    <row r="862">
      <c r="F862" s="53"/>
    </row>
    <row r="863">
      <c r="F863" s="53"/>
    </row>
    <row r="864">
      <c r="F864" s="53"/>
    </row>
    <row r="865">
      <c r="F865" s="53"/>
    </row>
    <row r="866">
      <c r="F866" s="53"/>
    </row>
    <row r="867">
      <c r="F867" s="53"/>
    </row>
    <row r="868">
      <c r="F868" s="53"/>
    </row>
    <row r="869">
      <c r="F869" s="53"/>
    </row>
    <row r="870">
      <c r="F870" s="53"/>
    </row>
    <row r="871">
      <c r="F871" s="53"/>
    </row>
    <row r="872">
      <c r="F872" s="53"/>
    </row>
    <row r="873">
      <c r="F873" s="53"/>
    </row>
    <row r="874">
      <c r="F874" s="53"/>
    </row>
    <row r="875">
      <c r="F875" s="53"/>
    </row>
    <row r="876">
      <c r="F876" s="53"/>
    </row>
    <row r="877">
      <c r="F877" s="53"/>
    </row>
    <row r="878">
      <c r="F878" s="53"/>
    </row>
    <row r="879">
      <c r="F879" s="53"/>
    </row>
    <row r="880">
      <c r="F880" s="53"/>
    </row>
    <row r="881">
      <c r="F881" s="53"/>
    </row>
    <row r="882">
      <c r="F882" s="53"/>
    </row>
    <row r="883">
      <c r="F883" s="53"/>
    </row>
    <row r="884">
      <c r="F884" s="53"/>
    </row>
    <row r="885">
      <c r="F885" s="53"/>
    </row>
    <row r="886">
      <c r="F886" s="53"/>
    </row>
    <row r="887">
      <c r="F887" s="53"/>
    </row>
    <row r="888">
      <c r="F888" s="53"/>
    </row>
    <row r="889">
      <c r="F889" s="53"/>
    </row>
    <row r="890">
      <c r="F890" s="53"/>
    </row>
    <row r="891">
      <c r="F891" s="53"/>
    </row>
    <row r="892">
      <c r="F892" s="53"/>
    </row>
    <row r="893">
      <c r="F893" s="53"/>
    </row>
    <row r="894">
      <c r="F894" s="53"/>
    </row>
    <row r="895">
      <c r="F895" s="53"/>
    </row>
    <row r="896">
      <c r="F896" s="53"/>
    </row>
    <row r="897">
      <c r="F897" s="53"/>
    </row>
    <row r="898">
      <c r="F898" s="53"/>
    </row>
    <row r="899">
      <c r="F899" s="53"/>
    </row>
    <row r="900">
      <c r="F900" s="53"/>
    </row>
    <row r="901">
      <c r="F901" s="53"/>
    </row>
    <row r="902">
      <c r="F902" s="53"/>
    </row>
    <row r="903">
      <c r="F903" s="53"/>
    </row>
    <row r="904">
      <c r="F904" s="53"/>
    </row>
    <row r="905">
      <c r="F905" s="53"/>
    </row>
    <row r="906">
      <c r="F906" s="53"/>
    </row>
    <row r="907">
      <c r="F907" s="53"/>
    </row>
    <row r="908">
      <c r="F908" s="53"/>
    </row>
    <row r="909">
      <c r="F909" s="53"/>
    </row>
    <row r="910">
      <c r="F910" s="53"/>
    </row>
    <row r="911">
      <c r="F911" s="53"/>
    </row>
    <row r="912">
      <c r="F912" s="53"/>
    </row>
    <row r="913">
      <c r="F913" s="53"/>
    </row>
    <row r="914">
      <c r="F914" s="53"/>
    </row>
    <row r="915">
      <c r="F915" s="53"/>
    </row>
    <row r="916">
      <c r="F916" s="53"/>
    </row>
    <row r="917">
      <c r="F917" s="53"/>
    </row>
    <row r="918">
      <c r="F918" s="53"/>
    </row>
    <row r="919">
      <c r="F919" s="53"/>
    </row>
    <row r="920">
      <c r="F920" s="53"/>
    </row>
    <row r="921">
      <c r="F921" s="53"/>
    </row>
    <row r="922">
      <c r="F922" s="53"/>
    </row>
    <row r="923">
      <c r="F923" s="53"/>
    </row>
    <row r="924">
      <c r="F924" s="53"/>
    </row>
    <row r="925">
      <c r="F925" s="53"/>
    </row>
    <row r="926">
      <c r="F926" s="53"/>
    </row>
    <row r="927">
      <c r="F927" s="53"/>
    </row>
    <row r="928">
      <c r="F928" s="53"/>
    </row>
    <row r="929">
      <c r="F929" s="53"/>
    </row>
    <row r="930">
      <c r="F930" s="53"/>
    </row>
    <row r="931">
      <c r="F931" s="53"/>
    </row>
    <row r="932">
      <c r="F932" s="53"/>
    </row>
    <row r="933">
      <c r="F933" s="53"/>
    </row>
    <row r="934">
      <c r="F934" s="53"/>
    </row>
    <row r="935">
      <c r="F935" s="53"/>
    </row>
    <row r="936">
      <c r="F936" s="53"/>
    </row>
    <row r="937">
      <c r="F937" s="53"/>
    </row>
    <row r="938">
      <c r="F938" s="53"/>
    </row>
    <row r="939">
      <c r="F939" s="53"/>
    </row>
    <row r="940">
      <c r="F940" s="53"/>
    </row>
    <row r="941">
      <c r="F941" s="53"/>
    </row>
    <row r="942">
      <c r="F942" s="53"/>
    </row>
    <row r="943">
      <c r="F943" s="53"/>
    </row>
    <row r="944">
      <c r="F944" s="53"/>
    </row>
    <row r="945">
      <c r="F945" s="53"/>
    </row>
    <row r="946">
      <c r="F946" s="53"/>
    </row>
    <row r="947">
      <c r="F947" s="53"/>
    </row>
    <row r="948">
      <c r="F948" s="53"/>
    </row>
    <row r="949">
      <c r="F949" s="53"/>
    </row>
    <row r="950">
      <c r="F950" s="53"/>
    </row>
    <row r="951">
      <c r="F951" s="53"/>
    </row>
    <row r="952">
      <c r="F952" s="53"/>
    </row>
    <row r="953">
      <c r="F953" s="53"/>
    </row>
    <row r="954">
      <c r="F954" s="53"/>
    </row>
    <row r="955">
      <c r="F955" s="53"/>
    </row>
    <row r="956">
      <c r="F956" s="53"/>
    </row>
    <row r="957">
      <c r="F957" s="53"/>
    </row>
    <row r="958">
      <c r="F958" s="53"/>
    </row>
    <row r="959">
      <c r="F959" s="53"/>
    </row>
    <row r="960">
      <c r="F960" s="53"/>
    </row>
    <row r="961">
      <c r="F961" s="53"/>
    </row>
    <row r="962">
      <c r="F962" s="53"/>
    </row>
    <row r="963">
      <c r="F963" s="53"/>
    </row>
    <row r="964">
      <c r="F964" s="53"/>
    </row>
    <row r="965">
      <c r="F965" s="53"/>
    </row>
    <row r="966">
      <c r="F966" s="53"/>
    </row>
    <row r="967">
      <c r="F967" s="53"/>
    </row>
    <row r="968">
      <c r="F968" s="53"/>
    </row>
    <row r="969">
      <c r="F969" s="53"/>
    </row>
    <row r="970">
      <c r="F970" s="53"/>
    </row>
    <row r="971">
      <c r="F971" s="53"/>
    </row>
    <row r="972">
      <c r="F972" s="53"/>
    </row>
    <row r="973">
      <c r="F973" s="53"/>
    </row>
    <row r="974">
      <c r="F974" s="53"/>
    </row>
    <row r="975">
      <c r="F975" s="53"/>
    </row>
    <row r="976">
      <c r="F976" s="53"/>
    </row>
    <row r="977">
      <c r="F977" s="53"/>
    </row>
    <row r="978">
      <c r="F978" s="53"/>
    </row>
    <row r="979">
      <c r="F979" s="53"/>
    </row>
    <row r="980">
      <c r="F980" s="53"/>
    </row>
    <row r="981">
      <c r="F981" s="53"/>
    </row>
    <row r="982">
      <c r="F982" s="53"/>
    </row>
    <row r="983">
      <c r="F983" s="53"/>
    </row>
    <row r="984">
      <c r="F984" s="53"/>
    </row>
    <row r="985">
      <c r="F985" s="53"/>
    </row>
    <row r="986">
      <c r="F986" s="53"/>
    </row>
    <row r="987">
      <c r="F987" s="53"/>
    </row>
    <row r="988">
      <c r="F988" s="53"/>
    </row>
    <row r="989">
      <c r="F989" s="53"/>
    </row>
    <row r="990">
      <c r="F990" s="53"/>
    </row>
    <row r="991">
      <c r="F991" s="53"/>
    </row>
    <row r="992">
      <c r="F992" s="53"/>
    </row>
    <row r="993">
      <c r="F993" s="53"/>
    </row>
    <row r="994">
      <c r="F994" s="53"/>
    </row>
    <row r="995">
      <c r="F995" s="53"/>
    </row>
    <row r="996">
      <c r="F996" s="53"/>
    </row>
    <row r="997">
      <c r="F997" s="53"/>
    </row>
    <row r="998">
      <c r="F998" s="53"/>
    </row>
  </sheetData>
  <mergeCells count="6">
    <mergeCell ref="A1:E1"/>
    <mergeCell ref="A33:D33"/>
    <mergeCell ref="A34:D34"/>
    <mergeCell ref="A83:G83"/>
    <mergeCell ref="A84:G84"/>
    <mergeCell ref="A116:D1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63"/>
    <col customWidth="1" min="4" max="6" width="13.88"/>
    <col customWidth="1" min="7" max="7" width="13.75"/>
    <col customWidth="1" min="8" max="8" width="3.88"/>
    <col customWidth="1" min="9" max="9" width="13.5"/>
    <col customWidth="1" min="10" max="10" width="13.88"/>
    <col customWidth="1" min="11" max="26" width="10.63"/>
  </cols>
  <sheetData>
    <row r="1" ht="14.25" customHeight="1">
      <c r="A1" s="128" t="s">
        <v>324</v>
      </c>
      <c r="B1" s="2"/>
      <c r="C1" s="2"/>
      <c r="D1" s="2"/>
      <c r="E1" s="2"/>
      <c r="F1" s="2"/>
      <c r="G1" s="3"/>
    </row>
    <row r="2" ht="14.25" customHeight="1">
      <c r="A2" s="129" t="s">
        <v>325</v>
      </c>
      <c r="B2" s="2"/>
      <c r="C2" s="2"/>
      <c r="D2" s="2"/>
      <c r="E2" s="2"/>
      <c r="F2" s="2"/>
      <c r="G2" s="3"/>
    </row>
    <row r="3" ht="14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45625.0</v>
      </c>
      <c r="C4" s="133">
        <f>+J7</f>
        <v>25156.1</v>
      </c>
      <c r="D4" s="134">
        <v>0.01</v>
      </c>
      <c r="E4" s="135"/>
      <c r="F4" s="135"/>
      <c r="G4" s="135">
        <f>+C4</f>
        <v>25156.1</v>
      </c>
    </row>
    <row r="5" ht="14.25" customHeight="1">
      <c r="A5" s="136">
        <v>1.0</v>
      </c>
      <c r="B5" s="137">
        <v>45655.0</v>
      </c>
      <c r="C5" s="138"/>
      <c r="D5" s="138">
        <f t="shared" ref="D5:D88" si="1">+ROUND(G4*0.01,1)</f>
        <v>251.6</v>
      </c>
      <c r="E5" s="138">
        <f t="shared" ref="E5:E87" si="2">ROUNDUP($C$4/84,1)</f>
        <v>299.5</v>
      </c>
      <c r="F5" s="139">
        <f t="shared" ref="F5:F88" si="3">+ROUND(D5+E5,1)</f>
        <v>551.1</v>
      </c>
      <c r="G5" s="138">
        <f t="shared" ref="G5:G88" si="4">+ROUND(G4-E5,1)</f>
        <v>24856.6</v>
      </c>
      <c r="I5" s="140" t="s">
        <v>209</v>
      </c>
      <c r="J5" s="141">
        <v>5560.79999999998</v>
      </c>
    </row>
    <row r="6" ht="14.25" customHeight="1">
      <c r="A6" s="136">
        <v>2.0</v>
      </c>
      <c r="B6" s="137">
        <v>45686.0</v>
      </c>
      <c r="C6" s="138"/>
      <c r="D6" s="138">
        <f t="shared" si="1"/>
        <v>248.6</v>
      </c>
      <c r="E6" s="138">
        <f t="shared" si="2"/>
        <v>299.5</v>
      </c>
      <c r="F6" s="139">
        <f t="shared" si="3"/>
        <v>548.1</v>
      </c>
      <c r="G6" s="138">
        <f t="shared" si="4"/>
        <v>24557.1</v>
      </c>
      <c r="I6" s="140" t="s">
        <v>331</v>
      </c>
      <c r="J6" s="141">
        <v>19595.300000000003</v>
      </c>
    </row>
    <row r="7" ht="14.25" customHeight="1">
      <c r="A7" s="136">
        <v>3.0</v>
      </c>
      <c r="B7" s="137">
        <v>45716.0</v>
      </c>
      <c r="C7" s="138"/>
      <c r="D7" s="138">
        <f t="shared" si="1"/>
        <v>245.6</v>
      </c>
      <c r="E7" s="138">
        <f t="shared" si="2"/>
        <v>299.5</v>
      </c>
      <c r="F7" s="139">
        <f t="shared" si="3"/>
        <v>545.1</v>
      </c>
      <c r="G7" s="138">
        <f t="shared" si="4"/>
        <v>24257.6</v>
      </c>
      <c r="I7" s="142" t="s">
        <v>252</v>
      </c>
      <c r="J7" s="143">
        <f>+SUM(J5:J6)</f>
        <v>25156.1</v>
      </c>
    </row>
    <row r="8" ht="14.25" customHeight="1">
      <c r="A8" s="136">
        <v>4.0</v>
      </c>
      <c r="B8" s="137">
        <v>45745.0</v>
      </c>
      <c r="C8" s="144"/>
      <c r="D8" s="138">
        <f t="shared" si="1"/>
        <v>242.6</v>
      </c>
      <c r="E8" s="138">
        <f t="shared" si="2"/>
        <v>299.5</v>
      </c>
      <c r="F8" s="139">
        <f t="shared" si="3"/>
        <v>542.1</v>
      </c>
      <c r="G8" s="138">
        <f t="shared" si="4"/>
        <v>23958.1</v>
      </c>
    </row>
    <row r="9" ht="14.25" customHeight="1">
      <c r="A9" s="136">
        <v>5.0</v>
      </c>
      <c r="B9" s="137">
        <v>45776.0</v>
      </c>
      <c r="C9" s="144"/>
      <c r="D9" s="138">
        <f t="shared" si="1"/>
        <v>239.6</v>
      </c>
      <c r="E9" s="138">
        <f t="shared" si="2"/>
        <v>299.5</v>
      </c>
      <c r="F9" s="139">
        <f t="shared" si="3"/>
        <v>539.1</v>
      </c>
      <c r="G9" s="138">
        <f t="shared" si="4"/>
        <v>23658.6</v>
      </c>
    </row>
    <row r="10" ht="14.25" customHeight="1">
      <c r="A10" s="136">
        <v>6.0</v>
      </c>
      <c r="B10" s="137">
        <v>45806.0</v>
      </c>
      <c r="C10" s="144"/>
      <c r="D10" s="138">
        <f t="shared" si="1"/>
        <v>236.6</v>
      </c>
      <c r="E10" s="138">
        <f t="shared" si="2"/>
        <v>299.5</v>
      </c>
      <c r="F10" s="139">
        <f t="shared" si="3"/>
        <v>536.1</v>
      </c>
      <c r="G10" s="138">
        <f t="shared" si="4"/>
        <v>23359.1</v>
      </c>
    </row>
    <row r="11" ht="14.25" customHeight="1">
      <c r="A11" s="136">
        <v>7.0</v>
      </c>
      <c r="B11" s="137">
        <v>45837.0</v>
      </c>
      <c r="C11" s="144"/>
      <c r="D11" s="138">
        <f t="shared" si="1"/>
        <v>233.6</v>
      </c>
      <c r="E11" s="138">
        <f t="shared" si="2"/>
        <v>299.5</v>
      </c>
      <c r="F11" s="139">
        <f t="shared" si="3"/>
        <v>533.1</v>
      </c>
      <c r="G11" s="138">
        <f t="shared" si="4"/>
        <v>23059.6</v>
      </c>
    </row>
    <row r="12" ht="14.25" customHeight="1">
      <c r="A12" s="136">
        <v>8.0</v>
      </c>
      <c r="B12" s="137">
        <v>45867.0</v>
      </c>
      <c r="C12" s="144"/>
      <c r="D12" s="138">
        <f t="shared" si="1"/>
        <v>230.6</v>
      </c>
      <c r="E12" s="138">
        <f t="shared" si="2"/>
        <v>299.5</v>
      </c>
      <c r="F12" s="139">
        <f t="shared" si="3"/>
        <v>530.1</v>
      </c>
      <c r="G12" s="138">
        <f t="shared" si="4"/>
        <v>22760.1</v>
      </c>
    </row>
    <row r="13" ht="14.25" customHeight="1">
      <c r="A13" s="136">
        <v>9.0</v>
      </c>
      <c r="B13" s="137">
        <v>45898.0</v>
      </c>
      <c r="C13" s="144"/>
      <c r="D13" s="138">
        <f t="shared" si="1"/>
        <v>227.6</v>
      </c>
      <c r="E13" s="138">
        <f t="shared" si="2"/>
        <v>299.5</v>
      </c>
      <c r="F13" s="139">
        <f t="shared" si="3"/>
        <v>527.1</v>
      </c>
      <c r="G13" s="138">
        <f t="shared" si="4"/>
        <v>22460.6</v>
      </c>
    </row>
    <row r="14" ht="14.25" customHeight="1">
      <c r="A14" s="136">
        <v>10.0</v>
      </c>
      <c r="B14" s="137">
        <v>45929.0</v>
      </c>
      <c r="C14" s="144"/>
      <c r="D14" s="138">
        <f t="shared" si="1"/>
        <v>224.6</v>
      </c>
      <c r="E14" s="138">
        <f t="shared" si="2"/>
        <v>299.5</v>
      </c>
      <c r="F14" s="139">
        <f t="shared" si="3"/>
        <v>524.1</v>
      </c>
      <c r="G14" s="138">
        <f t="shared" si="4"/>
        <v>22161.1</v>
      </c>
    </row>
    <row r="15" ht="14.25" customHeight="1">
      <c r="A15" s="136">
        <v>11.0</v>
      </c>
      <c r="B15" s="137">
        <v>45959.0</v>
      </c>
      <c r="C15" s="145"/>
      <c r="D15" s="138">
        <f t="shared" si="1"/>
        <v>221.6</v>
      </c>
      <c r="E15" s="138">
        <f t="shared" si="2"/>
        <v>299.5</v>
      </c>
      <c r="F15" s="139">
        <f t="shared" si="3"/>
        <v>521.1</v>
      </c>
      <c r="G15" s="138">
        <f t="shared" si="4"/>
        <v>21861.6</v>
      </c>
    </row>
    <row r="16" ht="14.25" customHeight="1">
      <c r="A16" s="136">
        <v>12.0</v>
      </c>
      <c r="B16" s="137">
        <v>45990.0</v>
      </c>
      <c r="C16" s="145"/>
      <c r="D16" s="138">
        <f t="shared" si="1"/>
        <v>218.6</v>
      </c>
      <c r="E16" s="138">
        <f t="shared" si="2"/>
        <v>299.5</v>
      </c>
      <c r="F16" s="139">
        <f t="shared" si="3"/>
        <v>518.1</v>
      </c>
      <c r="G16" s="138">
        <f t="shared" si="4"/>
        <v>21562.1</v>
      </c>
    </row>
    <row r="17" ht="14.25" customHeight="1">
      <c r="A17" s="136">
        <v>13.0</v>
      </c>
      <c r="B17" s="137">
        <v>46020.0</v>
      </c>
      <c r="C17" s="145"/>
      <c r="D17" s="138">
        <f t="shared" si="1"/>
        <v>215.6</v>
      </c>
      <c r="E17" s="138">
        <f t="shared" si="2"/>
        <v>299.5</v>
      </c>
      <c r="F17" s="139">
        <f t="shared" si="3"/>
        <v>515.1</v>
      </c>
      <c r="G17" s="138">
        <f t="shared" si="4"/>
        <v>21262.6</v>
      </c>
    </row>
    <row r="18" ht="14.25" customHeight="1">
      <c r="A18" s="136">
        <v>14.0</v>
      </c>
      <c r="B18" s="137">
        <v>46051.0</v>
      </c>
      <c r="C18" s="145"/>
      <c r="D18" s="138">
        <f t="shared" si="1"/>
        <v>212.6</v>
      </c>
      <c r="E18" s="138">
        <f t="shared" si="2"/>
        <v>299.5</v>
      </c>
      <c r="F18" s="139">
        <f t="shared" si="3"/>
        <v>512.1</v>
      </c>
      <c r="G18" s="138">
        <f t="shared" si="4"/>
        <v>20963.1</v>
      </c>
    </row>
    <row r="19" ht="14.25" customHeight="1">
      <c r="A19" s="136">
        <v>15.0</v>
      </c>
      <c r="B19" s="137">
        <v>46081.0</v>
      </c>
      <c r="C19" s="145"/>
      <c r="D19" s="138">
        <f t="shared" si="1"/>
        <v>209.6</v>
      </c>
      <c r="E19" s="138">
        <f t="shared" si="2"/>
        <v>299.5</v>
      </c>
      <c r="F19" s="139">
        <f t="shared" si="3"/>
        <v>509.1</v>
      </c>
      <c r="G19" s="138">
        <f t="shared" si="4"/>
        <v>20663.6</v>
      </c>
    </row>
    <row r="20" ht="14.25" customHeight="1">
      <c r="A20" s="131">
        <v>16.0</v>
      </c>
      <c r="B20" s="132">
        <v>46110.0</v>
      </c>
      <c r="C20" s="146"/>
      <c r="D20" s="135">
        <f t="shared" si="1"/>
        <v>206.6</v>
      </c>
      <c r="E20" s="135">
        <f t="shared" si="2"/>
        <v>299.5</v>
      </c>
      <c r="F20" s="133">
        <f t="shared" si="3"/>
        <v>506.1</v>
      </c>
      <c r="G20" s="135">
        <f t="shared" si="4"/>
        <v>20364.1</v>
      </c>
    </row>
    <row r="21" ht="14.25" customHeight="1">
      <c r="A21" s="131">
        <v>17.0</v>
      </c>
      <c r="B21" s="132">
        <v>46141.0</v>
      </c>
      <c r="C21" s="146"/>
      <c r="D21" s="135">
        <f t="shared" si="1"/>
        <v>203.6</v>
      </c>
      <c r="E21" s="135">
        <f t="shared" si="2"/>
        <v>299.5</v>
      </c>
      <c r="F21" s="133">
        <f t="shared" si="3"/>
        <v>503.1</v>
      </c>
      <c r="G21" s="135">
        <f t="shared" si="4"/>
        <v>20064.6</v>
      </c>
    </row>
    <row r="22" ht="14.25" customHeight="1">
      <c r="A22" s="131">
        <v>18.0</v>
      </c>
      <c r="B22" s="132">
        <v>46171.0</v>
      </c>
      <c r="C22" s="146"/>
      <c r="D22" s="135">
        <f t="shared" si="1"/>
        <v>200.6</v>
      </c>
      <c r="E22" s="135">
        <f t="shared" si="2"/>
        <v>299.5</v>
      </c>
      <c r="F22" s="133">
        <f t="shared" si="3"/>
        <v>500.1</v>
      </c>
      <c r="G22" s="135">
        <f t="shared" si="4"/>
        <v>19765.1</v>
      </c>
    </row>
    <row r="23" ht="14.25" customHeight="1">
      <c r="A23" s="131">
        <v>19.0</v>
      </c>
      <c r="B23" s="132">
        <v>46202.0</v>
      </c>
      <c r="C23" s="146"/>
      <c r="D23" s="135">
        <f t="shared" si="1"/>
        <v>197.7</v>
      </c>
      <c r="E23" s="135">
        <f t="shared" si="2"/>
        <v>299.5</v>
      </c>
      <c r="F23" s="133">
        <f t="shared" si="3"/>
        <v>497.2</v>
      </c>
      <c r="G23" s="135">
        <f t="shared" si="4"/>
        <v>19465.6</v>
      </c>
    </row>
    <row r="24" ht="14.25" customHeight="1">
      <c r="A24" s="131">
        <v>20.0</v>
      </c>
      <c r="B24" s="132">
        <v>46232.0</v>
      </c>
      <c r="C24" s="146"/>
      <c r="D24" s="135">
        <f t="shared" si="1"/>
        <v>194.7</v>
      </c>
      <c r="E24" s="135">
        <f t="shared" si="2"/>
        <v>299.5</v>
      </c>
      <c r="F24" s="133">
        <f t="shared" si="3"/>
        <v>494.2</v>
      </c>
      <c r="G24" s="135">
        <f t="shared" si="4"/>
        <v>19166.1</v>
      </c>
    </row>
    <row r="25" ht="14.25" customHeight="1">
      <c r="A25" s="131">
        <v>21.0</v>
      </c>
      <c r="B25" s="132">
        <v>46263.0</v>
      </c>
      <c r="C25" s="146"/>
      <c r="D25" s="135">
        <f t="shared" si="1"/>
        <v>191.7</v>
      </c>
      <c r="E25" s="135">
        <f t="shared" si="2"/>
        <v>299.5</v>
      </c>
      <c r="F25" s="133">
        <f t="shared" si="3"/>
        <v>491.2</v>
      </c>
      <c r="G25" s="135">
        <f t="shared" si="4"/>
        <v>18866.6</v>
      </c>
    </row>
    <row r="26" ht="14.25" customHeight="1">
      <c r="A26" s="131">
        <v>22.0</v>
      </c>
      <c r="B26" s="132">
        <v>46294.0</v>
      </c>
      <c r="C26" s="146"/>
      <c r="D26" s="135">
        <f t="shared" si="1"/>
        <v>188.7</v>
      </c>
      <c r="E26" s="135">
        <f t="shared" si="2"/>
        <v>299.5</v>
      </c>
      <c r="F26" s="133">
        <f t="shared" si="3"/>
        <v>488.2</v>
      </c>
      <c r="G26" s="135">
        <f t="shared" si="4"/>
        <v>18567.1</v>
      </c>
    </row>
    <row r="27" ht="14.25" customHeight="1">
      <c r="A27" s="131">
        <v>23.0</v>
      </c>
      <c r="B27" s="132">
        <v>46324.0</v>
      </c>
      <c r="C27" s="146"/>
      <c r="D27" s="135">
        <f t="shared" si="1"/>
        <v>185.7</v>
      </c>
      <c r="E27" s="135">
        <f t="shared" si="2"/>
        <v>299.5</v>
      </c>
      <c r="F27" s="133">
        <f t="shared" si="3"/>
        <v>485.2</v>
      </c>
      <c r="G27" s="135">
        <f t="shared" si="4"/>
        <v>18267.6</v>
      </c>
    </row>
    <row r="28" ht="14.25" customHeight="1">
      <c r="A28" s="131">
        <v>24.0</v>
      </c>
      <c r="B28" s="132">
        <v>46355.0</v>
      </c>
      <c r="C28" s="146"/>
      <c r="D28" s="135">
        <f t="shared" si="1"/>
        <v>182.7</v>
      </c>
      <c r="E28" s="135">
        <f t="shared" si="2"/>
        <v>299.5</v>
      </c>
      <c r="F28" s="133">
        <f t="shared" si="3"/>
        <v>482.2</v>
      </c>
      <c r="G28" s="135">
        <f t="shared" si="4"/>
        <v>17968.1</v>
      </c>
    </row>
    <row r="29" ht="14.25" customHeight="1">
      <c r="A29" s="131">
        <v>25.0</v>
      </c>
      <c r="B29" s="132">
        <v>46385.0</v>
      </c>
      <c r="C29" s="146"/>
      <c r="D29" s="135">
        <f t="shared" si="1"/>
        <v>179.7</v>
      </c>
      <c r="E29" s="135">
        <f t="shared" si="2"/>
        <v>299.5</v>
      </c>
      <c r="F29" s="133">
        <f t="shared" si="3"/>
        <v>479.2</v>
      </c>
      <c r="G29" s="135">
        <f t="shared" si="4"/>
        <v>17668.6</v>
      </c>
    </row>
    <row r="30" ht="14.25" customHeight="1">
      <c r="A30" s="131">
        <v>26.0</v>
      </c>
      <c r="B30" s="132">
        <v>46416.0</v>
      </c>
      <c r="C30" s="146"/>
      <c r="D30" s="135">
        <f t="shared" si="1"/>
        <v>176.7</v>
      </c>
      <c r="E30" s="135">
        <f t="shared" si="2"/>
        <v>299.5</v>
      </c>
      <c r="F30" s="133">
        <f t="shared" si="3"/>
        <v>476.2</v>
      </c>
      <c r="G30" s="135">
        <f t="shared" si="4"/>
        <v>17369.1</v>
      </c>
    </row>
    <row r="31" ht="14.25" customHeight="1">
      <c r="A31" s="131">
        <v>27.0</v>
      </c>
      <c r="B31" s="132">
        <v>46446.0</v>
      </c>
      <c r="C31" s="146"/>
      <c r="D31" s="135">
        <f t="shared" si="1"/>
        <v>173.7</v>
      </c>
      <c r="E31" s="135">
        <f t="shared" si="2"/>
        <v>299.5</v>
      </c>
      <c r="F31" s="133">
        <f t="shared" si="3"/>
        <v>473.2</v>
      </c>
      <c r="G31" s="135">
        <f t="shared" si="4"/>
        <v>17069.6</v>
      </c>
    </row>
    <row r="32" ht="14.25" customHeight="1">
      <c r="A32" s="131">
        <v>28.0</v>
      </c>
      <c r="B32" s="132">
        <v>46475.0</v>
      </c>
      <c r="C32" s="146"/>
      <c r="D32" s="135">
        <f t="shared" si="1"/>
        <v>170.7</v>
      </c>
      <c r="E32" s="135">
        <f t="shared" si="2"/>
        <v>299.5</v>
      </c>
      <c r="F32" s="133">
        <f t="shared" si="3"/>
        <v>470.2</v>
      </c>
      <c r="G32" s="135">
        <f t="shared" si="4"/>
        <v>16770.1</v>
      </c>
    </row>
    <row r="33" ht="14.25" customHeight="1">
      <c r="A33" s="131">
        <v>29.0</v>
      </c>
      <c r="B33" s="132">
        <v>46506.0</v>
      </c>
      <c r="C33" s="146"/>
      <c r="D33" s="135">
        <f t="shared" si="1"/>
        <v>167.7</v>
      </c>
      <c r="E33" s="135">
        <f t="shared" si="2"/>
        <v>299.5</v>
      </c>
      <c r="F33" s="133">
        <f t="shared" si="3"/>
        <v>467.2</v>
      </c>
      <c r="G33" s="135">
        <f t="shared" si="4"/>
        <v>16470.6</v>
      </c>
    </row>
    <row r="34" ht="14.25" customHeight="1">
      <c r="A34" s="131">
        <v>30.0</v>
      </c>
      <c r="B34" s="132">
        <v>46536.0</v>
      </c>
      <c r="C34" s="146"/>
      <c r="D34" s="135">
        <f t="shared" si="1"/>
        <v>164.7</v>
      </c>
      <c r="E34" s="135">
        <f t="shared" si="2"/>
        <v>299.5</v>
      </c>
      <c r="F34" s="133">
        <f t="shared" si="3"/>
        <v>464.2</v>
      </c>
      <c r="G34" s="135">
        <f t="shared" si="4"/>
        <v>16171.1</v>
      </c>
    </row>
    <row r="35" ht="14.25" customHeight="1">
      <c r="A35" s="131">
        <v>31.0</v>
      </c>
      <c r="B35" s="132">
        <v>46567.0</v>
      </c>
      <c r="C35" s="146"/>
      <c r="D35" s="135">
        <f t="shared" si="1"/>
        <v>161.7</v>
      </c>
      <c r="E35" s="135">
        <f t="shared" si="2"/>
        <v>299.5</v>
      </c>
      <c r="F35" s="133">
        <f t="shared" si="3"/>
        <v>461.2</v>
      </c>
      <c r="G35" s="135">
        <f t="shared" si="4"/>
        <v>15871.6</v>
      </c>
    </row>
    <row r="36" ht="14.25" customHeight="1">
      <c r="A36" s="131">
        <v>32.0</v>
      </c>
      <c r="B36" s="132">
        <v>46597.0</v>
      </c>
      <c r="C36" s="146"/>
      <c r="D36" s="135">
        <f t="shared" si="1"/>
        <v>158.7</v>
      </c>
      <c r="E36" s="135">
        <f t="shared" si="2"/>
        <v>299.5</v>
      </c>
      <c r="F36" s="133">
        <f t="shared" si="3"/>
        <v>458.2</v>
      </c>
      <c r="G36" s="135">
        <f t="shared" si="4"/>
        <v>15572.1</v>
      </c>
    </row>
    <row r="37" ht="14.25" customHeight="1">
      <c r="A37" s="131">
        <v>33.0</v>
      </c>
      <c r="B37" s="132">
        <v>46628.0</v>
      </c>
      <c r="C37" s="146"/>
      <c r="D37" s="135">
        <f t="shared" si="1"/>
        <v>155.7</v>
      </c>
      <c r="E37" s="135">
        <f t="shared" si="2"/>
        <v>299.5</v>
      </c>
      <c r="F37" s="133">
        <f t="shared" si="3"/>
        <v>455.2</v>
      </c>
      <c r="G37" s="135">
        <f t="shared" si="4"/>
        <v>15272.6</v>
      </c>
    </row>
    <row r="38" ht="14.25" customHeight="1">
      <c r="A38" s="131">
        <v>34.0</v>
      </c>
      <c r="B38" s="132">
        <v>46659.0</v>
      </c>
      <c r="C38" s="146"/>
      <c r="D38" s="135">
        <f t="shared" si="1"/>
        <v>152.7</v>
      </c>
      <c r="E38" s="135">
        <f t="shared" si="2"/>
        <v>299.5</v>
      </c>
      <c r="F38" s="133">
        <f t="shared" si="3"/>
        <v>452.2</v>
      </c>
      <c r="G38" s="135">
        <f t="shared" si="4"/>
        <v>14973.1</v>
      </c>
    </row>
    <row r="39" ht="14.25" customHeight="1">
      <c r="A39" s="131">
        <v>35.0</v>
      </c>
      <c r="B39" s="132">
        <v>46689.0</v>
      </c>
      <c r="C39" s="146"/>
      <c r="D39" s="135">
        <f t="shared" si="1"/>
        <v>149.7</v>
      </c>
      <c r="E39" s="135">
        <f t="shared" si="2"/>
        <v>299.5</v>
      </c>
      <c r="F39" s="133">
        <f t="shared" si="3"/>
        <v>449.2</v>
      </c>
      <c r="G39" s="135">
        <f t="shared" si="4"/>
        <v>14673.6</v>
      </c>
    </row>
    <row r="40" ht="14.25" customHeight="1">
      <c r="A40" s="131">
        <v>36.0</v>
      </c>
      <c r="B40" s="132">
        <v>46720.0</v>
      </c>
      <c r="C40" s="146"/>
      <c r="D40" s="135">
        <f t="shared" si="1"/>
        <v>146.7</v>
      </c>
      <c r="E40" s="135">
        <f t="shared" si="2"/>
        <v>299.5</v>
      </c>
      <c r="F40" s="133">
        <f t="shared" si="3"/>
        <v>446.2</v>
      </c>
      <c r="G40" s="135">
        <f t="shared" si="4"/>
        <v>14374.1</v>
      </c>
    </row>
    <row r="41" ht="14.25" customHeight="1">
      <c r="A41" s="131">
        <v>37.0</v>
      </c>
      <c r="B41" s="132">
        <v>46750.0</v>
      </c>
      <c r="C41" s="146"/>
      <c r="D41" s="135">
        <f t="shared" si="1"/>
        <v>143.7</v>
      </c>
      <c r="E41" s="135">
        <f t="shared" si="2"/>
        <v>299.5</v>
      </c>
      <c r="F41" s="133">
        <f t="shared" si="3"/>
        <v>443.2</v>
      </c>
      <c r="G41" s="135">
        <f t="shared" si="4"/>
        <v>14074.6</v>
      </c>
    </row>
    <row r="42" ht="14.25" customHeight="1">
      <c r="A42" s="131">
        <v>38.0</v>
      </c>
      <c r="B42" s="132">
        <v>46781.0</v>
      </c>
      <c r="C42" s="146"/>
      <c r="D42" s="135">
        <f t="shared" si="1"/>
        <v>140.7</v>
      </c>
      <c r="E42" s="135">
        <f t="shared" si="2"/>
        <v>299.5</v>
      </c>
      <c r="F42" s="133">
        <f t="shared" si="3"/>
        <v>440.2</v>
      </c>
      <c r="G42" s="135">
        <f t="shared" si="4"/>
        <v>13775.1</v>
      </c>
    </row>
    <row r="43" ht="14.25" customHeight="1">
      <c r="A43" s="131">
        <v>39.0</v>
      </c>
      <c r="B43" s="132">
        <v>46812.0</v>
      </c>
      <c r="C43" s="146"/>
      <c r="D43" s="135">
        <f t="shared" si="1"/>
        <v>137.8</v>
      </c>
      <c r="E43" s="135">
        <f t="shared" si="2"/>
        <v>299.5</v>
      </c>
      <c r="F43" s="133">
        <f t="shared" si="3"/>
        <v>437.3</v>
      </c>
      <c r="G43" s="135">
        <f t="shared" si="4"/>
        <v>13475.6</v>
      </c>
    </row>
    <row r="44" ht="14.25" customHeight="1">
      <c r="A44" s="131">
        <v>40.0</v>
      </c>
      <c r="B44" s="132">
        <v>46841.0</v>
      </c>
      <c r="C44" s="146"/>
      <c r="D44" s="135">
        <f t="shared" si="1"/>
        <v>134.8</v>
      </c>
      <c r="E44" s="135">
        <f t="shared" si="2"/>
        <v>299.5</v>
      </c>
      <c r="F44" s="133">
        <f t="shared" si="3"/>
        <v>434.3</v>
      </c>
      <c r="G44" s="135">
        <f t="shared" si="4"/>
        <v>13176.1</v>
      </c>
    </row>
    <row r="45" ht="14.25" customHeight="1">
      <c r="A45" s="131">
        <v>41.0</v>
      </c>
      <c r="B45" s="132">
        <v>46872.0</v>
      </c>
      <c r="C45" s="146"/>
      <c r="D45" s="135">
        <f t="shared" si="1"/>
        <v>131.8</v>
      </c>
      <c r="E45" s="135">
        <f t="shared" si="2"/>
        <v>299.5</v>
      </c>
      <c r="F45" s="133">
        <f t="shared" si="3"/>
        <v>431.3</v>
      </c>
      <c r="G45" s="135">
        <f t="shared" si="4"/>
        <v>12876.6</v>
      </c>
    </row>
    <row r="46" ht="14.25" customHeight="1">
      <c r="A46" s="131">
        <v>42.0</v>
      </c>
      <c r="B46" s="132">
        <v>46902.0</v>
      </c>
      <c r="C46" s="146"/>
      <c r="D46" s="135">
        <f t="shared" si="1"/>
        <v>128.8</v>
      </c>
      <c r="E46" s="135">
        <f t="shared" si="2"/>
        <v>299.5</v>
      </c>
      <c r="F46" s="133">
        <f t="shared" si="3"/>
        <v>428.3</v>
      </c>
      <c r="G46" s="135">
        <f t="shared" si="4"/>
        <v>12577.1</v>
      </c>
    </row>
    <row r="47" ht="14.25" customHeight="1">
      <c r="A47" s="131">
        <v>43.0</v>
      </c>
      <c r="B47" s="132">
        <v>46933.0</v>
      </c>
      <c r="C47" s="146"/>
      <c r="D47" s="135">
        <f t="shared" si="1"/>
        <v>125.8</v>
      </c>
      <c r="E47" s="135">
        <f t="shared" si="2"/>
        <v>299.5</v>
      </c>
      <c r="F47" s="133">
        <f t="shared" si="3"/>
        <v>425.3</v>
      </c>
      <c r="G47" s="135">
        <f t="shared" si="4"/>
        <v>12277.6</v>
      </c>
    </row>
    <row r="48" ht="14.25" customHeight="1">
      <c r="A48" s="131">
        <v>44.0</v>
      </c>
      <c r="B48" s="132">
        <v>46963.0</v>
      </c>
      <c r="C48" s="146"/>
      <c r="D48" s="135">
        <f t="shared" si="1"/>
        <v>122.8</v>
      </c>
      <c r="E48" s="135">
        <f t="shared" si="2"/>
        <v>299.5</v>
      </c>
      <c r="F48" s="133">
        <f t="shared" si="3"/>
        <v>422.3</v>
      </c>
      <c r="G48" s="135">
        <f t="shared" si="4"/>
        <v>11978.1</v>
      </c>
    </row>
    <row r="49" ht="14.25" customHeight="1">
      <c r="A49" s="131">
        <v>45.0</v>
      </c>
      <c r="B49" s="132">
        <v>46994.0</v>
      </c>
      <c r="C49" s="146"/>
      <c r="D49" s="135">
        <f t="shared" si="1"/>
        <v>119.8</v>
      </c>
      <c r="E49" s="135">
        <f t="shared" si="2"/>
        <v>299.5</v>
      </c>
      <c r="F49" s="133">
        <f t="shared" si="3"/>
        <v>419.3</v>
      </c>
      <c r="G49" s="135">
        <f t="shared" si="4"/>
        <v>11678.6</v>
      </c>
    </row>
    <row r="50" ht="14.25" customHeight="1">
      <c r="A50" s="131">
        <v>46.0</v>
      </c>
      <c r="B50" s="132">
        <v>47025.0</v>
      </c>
      <c r="C50" s="146"/>
      <c r="D50" s="135">
        <f t="shared" si="1"/>
        <v>116.8</v>
      </c>
      <c r="E50" s="135">
        <f t="shared" si="2"/>
        <v>299.5</v>
      </c>
      <c r="F50" s="133">
        <f t="shared" si="3"/>
        <v>416.3</v>
      </c>
      <c r="G50" s="135">
        <f t="shared" si="4"/>
        <v>11379.1</v>
      </c>
    </row>
    <row r="51" ht="14.25" customHeight="1">
      <c r="A51" s="131">
        <v>47.0</v>
      </c>
      <c r="B51" s="132">
        <v>47055.0</v>
      </c>
      <c r="C51" s="146"/>
      <c r="D51" s="135">
        <f t="shared" si="1"/>
        <v>113.8</v>
      </c>
      <c r="E51" s="135">
        <f t="shared" si="2"/>
        <v>299.5</v>
      </c>
      <c r="F51" s="133">
        <f t="shared" si="3"/>
        <v>413.3</v>
      </c>
      <c r="G51" s="135">
        <f t="shared" si="4"/>
        <v>11079.6</v>
      </c>
    </row>
    <row r="52" ht="14.25" customHeight="1">
      <c r="A52" s="131">
        <v>48.0</v>
      </c>
      <c r="B52" s="132">
        <v>47086.0</v>
      </c>
      <c r="C52" s="146"/>
      <c r="D52" s="135">
        <f t="shared" si="1"/>
        <v>110.8</v>
      </c>
      <c r="E52" s="135">
        <f t="shared" si="2"/>
        <v>299.5</v>
      </c>
      <c r="F52" s="133">
        <f t="shared" si="3"/>
        <v>410.3</v>
      </c>
      <c r="G52" s="135">
        <f t="shared" si="4"/>
        <v>10780.1</v>
      </c>
    </row>
    <row r="53" ht="14.25" customHeight="1">
      <c r="A53" s="131">
        <v>49.0</v>
      </c>
      <c r="B53" s="132">
        <v>47116.0</v>
      </c>
      <c r="C53" s="146"/>
      <c r="D53" s="135">
        <f t="shared" si="1"/>
        <v>107.8</v>
      </c>
      <c r="E53" s="135">
        <f t="shared" si="2"/>
        <v>299.5</v>
      </c>
      <c r="F53" s="133">
        <f t="shared" si="3"/>
        <v>407.3</v>
      </c>
      <c r="G53" s="135">
        <f t="shared" si="4"/>
        <v>10480.6</v>
      </c>
    </row>
    <row r="54" ht="14.25" customHeight="1">
      <c r="A54" s="131">
        <v>50.0</v>
      </c>
      <c r="B54" s="132">
        <v>47147.0</v>
      </c>
      <c r="C54" s="146"/>
      <c r="D54" s="135">
        <f t="shared" si="1"/>
        <v>104.8</v>
      </c>
      <c r="E54" s="135">
        <f t="shared" si="2"/>
        <v>299.5</v>
      </c>
      <c r="F54" s="133">
        <f t="shared" si="3"/>
        <v>404.3</v>
      </c>
      <c r="G54" s="135">
        <f t="shared" si="4"/>
        <v>10181.1</v>
      </c>
    </row>
    <row r="55" ht="14.25" customHeight="1">
      <c r="A55" s="131">
        <v>51.0</v>
      </c>
      <c r="B55" s="132">
        <v>47177.0</v>
      </c>
      <c r="C55" s="146"/>
      <c r="D55" s="135">
        <f t="shared" si="1"/>
        <v>101.8</v>
      </c>
      <c r="E55" s="135">
        <f t="shared" si="2"/>
        <v>299.5</v>
      </c>
      <c r="F55" s="133">
        <f t="shared" si="3"/>
        <v>401.3</v>
      </c>
      <c r="G55" s="135">
        <f t="shared" si="4"/>
        <v>9881.6</v>
      </c>
    </row>
    <row r="56" ht="14.25" customHeight="1">
      <c r="A56" s="131">
        <v>52.0</v>
      </c>
      <c r="B56" s="132">
        <v>47206.0</v>
      </c>
      <c r="C56" s="146"/>
      <c r="D56" s="135">
        <f t="shared" si="1"/>
        <v>98.8</v>
      </c>
      <c r="E56" s="135">
        <f t="shared" si="2"/>
        <v>299.5</v>
      </c>
      <c r="F56" s="133">
        <f t="shared" si="3"/>
        <v>398.3</v>
      </c>
      <c r="G56" s="135">
        <f t="shared" si="4"/>
        <v>9582.1</v>
      </c>
    </row>
    <row r="57" ht="14.25" customHeight="1">
      <c r="A57" s="131">
        <v>53.0</v>
      </c>
      <c r="B57" s="132">
        <v>47237.0</v>
      </c>
      <c r="C57" s="146"/>
      <c r="D57" s="135">
        <f t="shared" si="1"/>
        <v>95.8</v>
      </c>
      <c r="E57" s="135">
        <f t="shared" si="2"/>
        <v>299.5</v>
      </c>
      <c r="F57" s="133">
        <f t="shared" si="3"/>
        <v>395.3</v>
      </c>
      <c r="G57" s="135">
        <f t="shared" si="4"/>
        <v>9282.6</v>
      </c>
    </row>
    <row r="58" ht="14.25" customHeight="1">
      <c r="A58" s="131">
        <v>54.0</v>
      </c>
      <c r="B58" s="132">
        <v>47267.0</v>
      </c>
      <c r="C58" s="146"/>
      <c r="D58" s="135">
        <f t="shared" si="1"/>
        <v>92.8</v>
      </c>
      <c r="E58" s="135">
        <f t="shared" si="2"/>
        <v>299.5</v>
      </c>
      <c r="F58" s="133">
        <f t="shared" si="3"/>
        <v>392.3</v>
      </c>
      <c r="G58" s="135">
        <f t="shared" si="4"/>
        <v>8983.1</v>
      </c>
    </row>
    <row r="59" ht="14.25" customHeight="1">
      <c r="A59" s="131">
        <v>55.0</v>
      </c>
      <c r="B59" s="132">
        <v>47298.0</v>
      </c>
      <c r="C59" s="146"/>
      <c r="D59" s="135">
        <f t="shared" si="1"/>
        <v>89.8</v>
      </c>
      <c r="E59" s="135">
        <f t="shared" si="2"/>
        <v>299.5</v>
      </c>
      <c r="F59" s="133">
        <f t="shared" si="3"/>
        <v>389.3</v>
      </c>
      <c r="G59" s="135">
        <f t="shared" si="4"/>
        <v>8683.6</v>
      </c>
    </row>
    <row r="60" ht="14.25" customHeight="1">
      <c r="A60" s="131">
        <v>56.0</v>
      </c>
      <c r="B60" s="132">
        <v>47328.0</v>
      </c>
      <c r="C60" s="146"/>
      <c r="D60" s="135">
        <f t="shared" si="1"/>
        <v>86.8</v>
      </c>
      <c r="E60" s="135">
        <f t="shared" si="2"/>
        <v>299.5</v>
      </c>
      <c r="F60" s="133">
        <f t="shared" si="3"/>
        <v>386.3</v>
      </c>
      <c r="G60" s="135">
        <f t="shared" si="4"/>
        <v>8384.1</v>
      </c>
    </row>
    <row r="61" ht="14.25" customHeight="1">
      <c r="A61" s="131">
        <v>57.0</v>
      </c>
      <c r="B61" s="132">
        <v>47359.0</v>
      </c>
      <c r="C61" s="146"/>
      <c r="D61" s="135">
        <f t="shared" si="1"/>
        <v>83.8</v>
      </c>
      <c r="E61" s="135">
        <f t="shared" si="2"/>
        <v>299.5</v>
      </c>
      <c r="F61" s="133">
        <f t="shared" si="3"/>
        <v>383.3</v>
      </c>
      <c r="G61" s="135">
        <f t="shared" si="4"/>
        <v>8084.6</v>
      </c>
    </row>
    <row r="62" ht="14.25" customHeight="1">
      <c r="A62" s="131">
        <v>58.0</v>
      </c>
      <c r="B62" s="132">
        <v>47390.0</v>
      </c>
      <c r="C62" s="146"/>
      <c r="D62" s="135">
        <f t="shared" si="1"/>
        <v>80.8</v>
      </c>
      <c r="E62" s="135">
        <f t="shared" si="2"/>
        <v>299.5</v>
      </c>
      <c r="F62" s="133">
        <f t="shared" si="3"/>
        <v>380.3</v>
      </c>
      <c r="G62" s="135">
        <f t="shared" si="4"/>
        <v>7785.1</v>
      </c>
    </row>
    <row r="63" ht="14.25" customHeight="1">
      <c r="A63" s="131">
        <v>59.0</v>
      </c>
      <c r="B63" s="132">
        <v>47420.0</v>
      </c>
      <c r="C63" s="146"/>
      <c r="D63" s="135">
        <f t="shared" si="1"/>
        <v>77.9</v>
      </c>
      <c r="E63" s="135">
        <f t="shared" si="2"/>
        <v>299.5</v>
      </c>
      <c r="F63" s="133">
        <f t="shared" si="3"/>
        <v>377.4</v>
      </c>
      <c r="G63" s="135">
        <f t="shared" si="4"/>
        <v>7485.6</v>
      </c>
    </row>
    <row r="64" ht="14.25" customHeight="1">
      <c r="A64" s="131">
        <v>60.0</v>
      </c>
      <c r="B64" s="132">
        <v>47451.0</v>
      </c>
      <c r="C64" s="146"/>
      <c r="D64" s="135">
        <f t="shared" si="1"/>
        <v>74.9</v>
      </c>
      <c r="E64" s="135">
        <f t="shared" si="2"/>
        <v>299.5</v>
      </c>
      <c r="F64" s="133">
        <f t="shared" si="3"/>
        <v>374.4</v>
      </c>
      <c r="G64" s="135">
        <f t="shared" si="4"/>
        <v>7186.1</v>
      </c>
    </row>
    <row r="65" ht="14.25" customHeight="1">
      <c r="A65" s="131">
        <v>61.0</v>
      </c>
      <c r="B65" s="132">
        <v>47481.0</v>
      </c>
      <c r="C65" s="146"/>
      <c r="D65" s="135">
        <f t="shared" si="1"/>
        <v>71.9</v>
      </c>
      <c r="E65" s="135">
        <f t="shared" si="2"/>
        <v>299.5</v>
      </c>
      <c r="F65" s="133">
        <f t="shared" si="3"/>
        <v>371.4</v>
      </c>
      <c r="G65" s="135">
        <f t="shared" si="4"/>
        <v>6886.6</v>
      </c>
    </row>
    <row r="66" ht="14.25" customHeight="1">
      <c r="A66" s="131">
        <v>62.0</v>
      </c>
      <c r="B66" s="132">
        <v>47512.0</v>
      </c>
      <c r="C66" s="146"/>
      <c r="D66" s="135">
        <f t="shared" si="1"/>
        <v>68.9</v>
      </c>
      <c r="E66" s="135">
        <f t="shared" si="2"/>
        <v>299.5</v>
      </c>
      <c r="F66" s="133">
        <f t="shared" si="3"/>
        <v>368.4</v>
      </c>
      <c r="G66" s="135">
        <f t="shared" si="4"/>
        <v>6587.1</v>
      </c>
    </row>
    <row r="67" ht="14.25" customHeight="1">
      <c r="A67" s="131">
        <v>63.0</v>
      </c>
      <c r="B67" s="132">
        <v>47542.0</v>
      </c>
      <c r="C67" s="146"/>
      <c r="D67" s="135">
        <f t="shared" si="1"/>
        <v>65.9</v>
      </c>
      <c r="E67" s="135">
        <f t="shared" si="2"/>
        <v>299.5</v>
      </c>
      <c r="F67" s="133">
        <f t="shared" si="3"/>
        <v>365.4</v>
      </c>
      <c r="G67" s="135">
        <f t="shared" si="4"/>
        <v>6287.6</v>
      </c>
    </row>
    <row r="68" ht="14.25" customHeight="1">
      <c r="A68" s="131">
        <v>64.0</v>
      </c>
      <c r="B68" s="132">
        <v>47571.0</v>
      </c>
      <c r="C68" s="146"/>
      <c r="D68" s="135">
        <f t="shared" si="1"/>
        <v>62.9</v>
      </c>
      <c r="E68" s="135">
        <f t="shared" si="2"/>
        <v>299.5</v>
      </c>
      <c r="F68" s="133">
        <f t="shared" si="3"/>
        <v>362.4</v>
      </c>
      <c r="G68" s="135">
        <f t="shared" si="4"/>
        <v>5988.1</v>
      </c>
    </row>
    <row r="69" ht="14.25" customHeight="1">
      <c r="A69" s="131">
        <v>65.0</v>
      </c>
      <c r="B69" s="132">
        <v>47602.0</v>
      </c>
      <c r="C69" s="146"/>
      <c r="D69" s="135">
        <f t="shared" si="1"/>
        <v>59.9</v>
      </c>
      <c r="E69" s="135">
        <f t="shared" si="2"/>
        <v>299.5</v>
      </c>
      <c r="F69" s="133">
        <f t="shared" si="3"/>
        <v>359.4</v>
      </c>
      <c r="G69" s="135">
        <f t="shared" si="4"/>
        <v>5688.6</v>
      </c>
    </row>
    <row r="70" ht="14.25" customHeight="1">
      <c r="A70" s="131">
        <v>66.0</v>
      </c>
      <c r="B70" s="132">
        <v>47632.0</v>
      </c>
      <c r="C70" s="146"/>
      <c r="D70" s="135">
        <f t="shared" si="1"/>
        <v>56.9</v>
      </c>
      <c r="E70" s="135">
        <f t="shared" si="2"/>
        <v>299.5</v>
      </c>
      <c r="F70" s="133">
        <f t="shared" si="3"/>
        <v>356.4</v>
      </c>
      <c r="G70" s="135">
        <f t="shared" si="4"/>
        <v>5389.1</v>
      </c>
    </row>
    <row r="71" ht="14.25" customHeight="1">
      <c r="A71" s="131">
        <v>67.0</v>
      </c>
      <c r="B71" s="132">
        <v>47663.0</v>
      </c>
      <c r="C71" s="146"/>
      <c r="D71" s="135">
        <f t="shared" si="1"/>
        <v>53.9</v>
      </c>
      <c r="E71" s="135">
        <f t="shared" si="2"/>
        <v>299.5</v>
      </c>
      <c r="F71" s="133">
        <f t="shared" si="3"/>
        <v>353.4</v>
      </c>
      <c r="G71" s="135">
        <f t="shared" si="4"/>
        <v>5089.6</v>
      </c>
    </row>
    <row r="72" ht="14.25" customHeight="1">
      <c r="A72" s="131">
        <v>68.0</v>
      </c>
      <c r="B72" s="132">
        <v>47693.0</v>
      </c>
      <c r="C72" s="146"/>
      <c r="D72" s="135">
        <f t="shared" si="1"/>
        <v>50.9</v>
      </c>
      <c r="E72" s="135">
        <f t="shared" si="2"/>
        <v>299.5</v>
      </c>
      <c r="F72" s="133">
        <f t="shared" si="3"/>
        <v>350.4</v>
      </c>
      <c r="G72" s="135">
        <f t="shared" si="4"/>
        <v>4790.1</v>
      </c>
    </row>
    <row r="73" ht="14.25" customHeight="1">
      <c r="A73" s="131">
        <v>69.0</v>
      </c>
      <c r="B73" s="132">
        <v>47724.0</v>
      </c>
      <c r="C73" s="146"/>
      <c r="D73" s="135">
        <f t="shared" si="1"/>
        <v>47.9</v>
      </c>
      <c r="E73" s="135">
        <f t="shared" si="2"/>
        <v>299.5</v>
      </c>
      <c r="F73" s="133">
        <f t="shared" si="3"/>
        <v>347.4</v>
      </c>
      <c r="G73" s="135">
        <f t="shared" si="4"/>
        <v>4490.6</v>
      </c>
    </row>
    <row r="74" ht="14.25" customHeight="1">
      <c r="A74" s="131">
        <v>70.0</v>
      </c>
      <c r="B74" s="132">
        <v>47755.0</v>
      </c>
      <c r="C74" s="146"/>
      <c r="D74" s="135">
        <f t="shared" si="1"/>
        <v>44.9</v>
      </c>
      <c r="E74" s="135">
        <f t="shared" si="2"/>
        <v>299.5</v>
      </c>
      <c r="F74" s="133">
        <f t="shared" si="3"/>
        <v>344.4</v>
      </c>
      <c r="G74" s="135">
        <f t="shared" si="4"/>
        <v>4191.1</v>
      </c>
    </row>
    <row r="75" ht="14.25" customHeight="1">
      <c r="A75" s="131">
        <v>71.0</v>
      </c>
      <c r="B75" s="132">
        <v>47785.0</v>
      </c>
      <c r="C75" s="146"/>
      <c r="D75" s="135">
        <f t="shared" si="1"/>
        <v>41.9</v>
      </c>
      <c r="E75" s="135">
        <f t="shared" si="2"/>
        <v>299.5</v>
      </c>
      <c r="F75" s="133">
        <f t="shared" si="3"/>
        <v>341.4</v>
      </c>
      <c r="G75" s="135">
        <f t="shared" si="4"/>
        <v>3891.6</v>
      </c>
    </row>
    <row r="76" ht="14.25" customHeight="1">
      <c r="A76" s="131">
        <v>72.0</v>
      </c>
      <c r="B76" s="132">
        <v>47816.0</v>
      </c>
      <c r="C76" s="146"/>
      <c r="D76" s="135">
        <f t="shared" si="1"/>
        <v>38.9</v>
      </c>
      <c r="E76" s="135">
        <f t="shared" si="2"/>
        <v>299.5</v>
      </c>
      <c r="F76" s="133">
        <f t="shared" si="3"/>
        <v>338.4</v>
      </c>
      <c r="G76" s="135">
        <f t="shared" si="4"/>
        <v>3592.1</v>
      </c>
    </row>
    <row r="77" ht="14.25" customHeight="1">
      <c r="A77" s="131">
        <v>73.0</v>
      </c>
      <c r="B77" s="132">
        <v>47846.0</v>
      </c>
      <c r="C77" s="146"/>
      <c r="D77" s="135">
        <f t="shared" si="1"/>
        <v>35.9</v>
      </c>
      <c r="E77" s="135">
        <f t="shared" si="2"/>
        <v>299.5</v>
      </c>
      <c r="F77" s="133">
        <f t="shared" si="3"/>
        <v>335.4</v>
      </c>
      <c r="G77" s="135">
        <f t="shared" si="4"/>
        <v>3292.6</v>
      </c>
    </row>
    <row r="78" ht="14.25" customHeight="1">
      <c r="A78" s="131">
        <v>74.0</v>
      </c>
      <c r="B78" s="132">
        <v>47877.0</v>
      </c>
      <c r="C78" s="146"/>
      <c r="D78" s="135">
        <f t="shared" si="1"/>
        <v>32.9</v>
      </c>
      <c r="E78" s="135">
        <f t="shared" si="2"/>
        <v>299.5</v>
      </c>
      <c r="F78" s="133">
        <f t="shared" si="3"/>
        <v>332.4</v>
      </c>
      <c r="G78" s="135">
        <f t="shared" si="4"/>
        <v>2993.1</v>
      </c>
    </row>
    <row r="79" ht="14.25" customHeight="1">
      <c r="A79" s="131">
        <v>75.0</v>
      </c>
      <c r="B79" s="132">
        <v>47907.0</v>
      </c>
      <c r="C79" s="146"/>
      <c r="D79" s="135">
        <f t="shared" si="1"/>
        <v>29.9</v>
      </c>
      <c r="E79" s="135">
        <f t="shared" si="2"/>
        <v>299.5</v>
      </c>
      <c r="F79" s="133">
        <f t="shared" si="3"/>
        <v>329.4</v>
      </c>
      <c r="G79" s="135">
        <f t="shared" si="4"/>
        <v>2693.6</v>
      </c>
    </row>
    <row r="80" ht="14.25" customHeight="1">
      <c r="A80" s="131">
        <v>76.0</v>
      </c>
      <c r="B80" s="132">
        <v>47936.0</v>
      </c>
      <c r="C80" s="146"/>
      <c r="D80" s="135">
        <f t="shared" si="1"/>
        <v>26.9</v>
      </c>
      <c r="E80" s="135">
        <f t="shared" si="2"/>
        <v>299.5</v>
      </c>
      <c r="F80" s="133">
        <f t="shared" si="3"/>
        <v>326.4</v>
      </c>
      <c r="G80" s="135">
        <f t="shared" si="4"/>
        <v>2394.1</v>
      </c>
    </row>
    <row r="81" ht="14.25" customHeight="1">
      <c r="A81" s="131">
        <v>77.0</v>
      </c>
      <c r="B81" s="132">
        <v>47967.0</v>
      </c>
      <c r="C81" s="146"/>
      <c r="D81" s="135">
        <f t="shared" si="1"/>
        <v>23.9</v>
      </c>
      <c r="E81" s="135">
        <f t="shared" si="2"/>
        <v>299.5</v>
      </c>
      <c r="F81" s="133">
        <f t="shared" si="3"/>
        <v>323.4</v>
      </c>
      <c r="G81" s="135">
        <f t="shared" si="4"/>
        <v>2094.6</v>
      </c>
    </row>
    <row r="82" ht="14.25" customHeight="1">
      <c r="A82" s="131">
        <v>78.0</v>
      </c>
      <c r="B82" s="132">
        <v>47997.0</v>
      </c>
      <c r="C82" s="146"/>
      <c r="D82" s="135">
        <f t="shared" si="1"/>
        <v>20.9</v>
      </c>
      <c r="E82" s="135">
        <f t="shared" si="2"/>
        <v>299.5</v>
      </c>
      <c r="F82" s="133">
        <f t="shared" si="3"/>
        <v>320.4</v>
      </c>
      <c r="G82" s="135">
        <f t="shared" si="4"/>
        <v>1795.1</v>
      </c>
    </row>
    <row r="83" ht="14.25" customHeight="1">
      <c r="A83" s="131">
        <v>79.0</v>
      </c>
      <c r="B83" s="132">
        <v>48028.0</v>
      </c>
      <c r="C83" s="146"/>
      <c r="D83" s="135">
        <f t="shared" si="1"/>
        <v>18</v>
      </c>
      <c r="E83" s="135">
        <f t="shared" si="2"/>
        <v>299.5</v>
      </c>
      <c r="F83" s="133">
        <f t="shared" si="3"/>
        <v>317.5</v>
      </c>
      <c r="G83" s="135">
        <f t="shared" si="4"/>
        <v>1495.6</v>
      </c>
    </row>
    <row r="84" ht="14.25" customHeight="1">
      <c r="A84" s="131">
        <v>80.0</v>
      </c>
      <c r="B84" s="132">
        <v>48058.0</v>
      </c>
      <c r="C84" s="146"/>
      <c r="D84" s="135">
        <f t="shared" si="1"/>
        <v>15</v>
      </c>
      <c r="E84" s="135">
        <f t="shared" si="2"/>
        <v>299.5</v>
      </c>
      <c r="F84" s="133">
        <f t="shared" si="3"/>
        <v>314.5</v>
      </c>
      <c r="G84" s="135">
        <f t="shared" si="4"/>
        <v>1196.1</v>
      </c>
    </row>
    <row r="85" ht="14.25" customHeight="1">
      <c r="A85" s="131">
        <v>81.0</v>
      </c>
      <c r="B85" s="132">
        <v>48089.0</v>
      </c>
      <c r="C85" s="146"/>
      <c r="D85" s="135">
        <f t="shared" si="1"/>
        <v>12</v>
      </c>
      <c r="E85" s="135">
        <f t="shared" si="2"/>
        <v>299.5</v>
      </c>
      <c r="F85" s="133">
        <f t="shared" si="3"/>
        <v>311.5</v>
      </c>
      <c r="G85" s="135">
        <f t="shared" si="4"/>
        <v>896.6</v>
      </c>
    </row>
    <row r="86" ht="14.25" customHeight="1">
      <c r="A86" s="131">
        <v>82.0</v>
      </c>
      <c r="B86" s="132">
        <v>48120.0</v>
      </c>
      <c r="C86" s="146"/>
      <c r="D86" s="135">
        <f t="shared" si="1"/>
        <v>9</v>
      </c>
      <c r="E86" s="135">
        <f t="shared" si="2"/>
        <v>299.5</v>
      </c>
      <c r="F86" s="133">
        <f t="shared" si="3"/>
        <v>308.5</v>
      </c>
      <c r="G86" s="135">
        <f t="shared" si="4"/>
        <v>597.1</v>
      </c>
    </row>
    <row r="87" ht="14.25" customHeight="1">
      <c r="A87" s="131">
        <v>83.0</v>
      </c>
      <c r="B87" s="132">
        <v>48150.0</v>
      </c>
      <c r="C87" s="146"/>
      <c r="D87" s="135">
        <f t="shared" si="1"/>
        <v>6</v>
      </c>
      <c r="E87" s="135">
        <f t="shared" si="2"/>
        <v>299.5</v>
      </c>
      <c r="F87" s="133">
        <f t="shared" si="3"/>
        <v>305.5</v>
      </c>
      <c r="G87" s="135">
        <f t="shared" si="4"/>
        <v>297.6</v>
      </c>
    </row>
    <row r="88" ht="14.25" customHeight="1">
      <c r="A88" s="131">
        <v>84.0</v>
      </c>
      <c r="B88" s="132">
        <v>48181.0</v>
      </c>
      <c r="C88" s="146"/>
      <c r="D88" s="135">
        <f t="shared" si="1"/>
        <v>3</v>
      </c>
      <c r="E88" s="135">
        <f>ROUNDUP($C$4/84,1)-1.9</f>
        <v>297.6</v>
      </c>
      <c r="F88" s="133">
        <f t="shared" si="3"/>
        <v>300.6</v>
      </c>
      <c r="G88" s="135">
        <f t="shared" si="4"/>
        <v>0</v>
      </c>
    </row>
    <row r="89" ht="14.25" customHeight="1">
      <c r="A89" s="129" t="s">
        <v>252</v>
      </c>
      <c r="B89" s="2"/>
      <c r="C89" s="3"/>
      <c r="D89" s="147">
        <f t="shared" ref="D89:F89" si="5">+SUM(D5:D88)</f>
        <v>10690.8</v>
      </c>
      <c r="E89" s="147">
        <f t="shared" si="5"/>
        <v>25156.1</v>
      </c>
      <c r="F89" s="147">
        <f t="shared" si="5"/>
        <v>35846.9</v>
      </c>
      <c r="G89" s="148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3.5"/>
    <col customWidth="1" min="10" max="10" width="14.63"/>
    <col customWidth="1" min="11" max="26" width="10.63"/>
  </cols>
  <sheetData>
    <row r="1" ht="14.25" customHeight="1">
      <c r="A1" s="149" t="s">
        <v>332</v>
      </c>
      <c r="B1" s="2"/>
      <c r="C1" s="2"/>
      <c r="D1" s="2"/>
      <c r="E1" s="2"/>
      <c r="F1" s="2"/>
      <c r="G1" s="3"/>
    </row>
    <row r="2" ht="14.25" customHeight="1">
      <c r="A2" s="150" t="s">
        <v>333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46081.0</v>
      </c>
      <c r="C4" s="133">
        <f>+J7</f>
        <v>29153.1</v>
      </c>
      <c r="D4" s="134">
        <v>0.01</v>
      </c>
      <c r="E4" s="135"/>
      <c r="F4" s="135"/>
      <c r="G4" s="135">
        <f>+C4</f>
        <v>29153.1</v>
      </c>
    </row>
    <row r="5" ht="14.25" customHeight="1">
      <c r="A5" s="131">
        <v>1.0</v>
      </c>
      <c r="B5" s="132">
        <v>46110.0</v>
      </c>
      <c r="C5" s="146"/>
      <c r="D5" s="135">
        <f t="shared" ref="D5:D64" si="1">+ROUND(G4*0.01,1)</f>
        <v>291.5</v>
      </c>
      <c r="E5" s="135">
        <f t="shared" ref="E5:E63" si="2">ROUNDUP($C$4/60,1)</f>
        <v>485.9</v>
      </c>
      <c r="F5" s="133">
        <f t="shared" ref="F5:F64" si="3">+ROUND(D5+E5,1)</f>
        <v>777.4</v>
      </c>
      <c r="G5" s="135">
        <f t="shared" ref="G5:G64" si="4">+ROUND(G4-E5,1)</f>
        <v>28667.2</v>
      </c>
      <c r="I5" s="140" t="s">
        <v>209</v>
      </c>
      <c r="J5" s="151">
        <v>0.0</v>
      </c>
    </row>
    <row r="6" ht="14.25" customHeight="1">
      <c r="A6" s="131">
        <v>2.0</v>
      </c>
      <c r="B6" s="132">
        <v>46141.0</v>
      </c>
      <c r="C6" s="146"/>
      <c r="D6" s="135">
        <f t="shared" si="1"/>
        <v>286.7</v>
      </c>
      <c r="E6" s="135">
        <f t="shared" si="2"/>
        <v>485.9</v>
      </c>
      <c r="F6" s="133">
        <f t="shared" si="3"/>
        <v>772.6</v>
      </c>
      <c r="G6" s="135">
        <f t="shared" si="4"/>
        <v>28181.3</v>
      </c>
      <c r="I6" s="140" t="s">
        <v>331</v>
      </c>
      <c r="J6" s="151">
        <v>29153.1</v>
      </c>
    </row>
    <row r="7" ht="14.25" customHeight="1">
      <c r="A7" s="131">
        <v>3.0</v>
      </c>
      <c r="B7" s="132">
        <v>46171.0</v>
      </c>
      <c r="C7" s="146"/>
      <c r="D7" s="135">
        <f t="shared" si="1"/>
        <v>281.8</v>
      </c>
      <c r="E7" s="135">
        <f t="shared" si="2"/>
        <v>485.9</v>
      </c>
      <c r="F7" s="133">
        <f t="shared" si="3"/>
        <v>767.7</v>
      </c>
      <c r="G7" s="135">
        <f t="shared" si="4"/>
        <v>27695.4</v>
      </c>
      <c r="I7" s="142" t="s">
        <v>252</v>
      </c>
      <c r="J7" s="143">
        <f>+SUM(J5:J6)</f>
        <v>29153.1</v>
      </c>
    </row>
    <row r="8" ht="14.25" customHeight="1">
      <c r="A8" s="131">
        <v>4.0</v>
      </c>
      <c r="B8" s="132">
        <v>46202.0</v>
      </c>
      <c r="C8" s="146"/>
      <c r="D8" s="135">
        <f t="shared" si="1"/>
        <v>277</v>
      </c>
      <c r="E8" s="135">
        <f t="shared" si="2"/>
        <v>485.9</v>
      </c>
      <c r="F8" s="133">
        <f t="shared" si="3"/>
        <v>762.9</v>
      </c>
      <c r="G8" s="135">
        <f t="shared" si="4"/>
        <v>27209.5</v>
      </c>
    </row>
    <row r="9" ht="14.25" customHeight="1">
      <c r="A9" s="131">
        <v>5.0</v>
      </c>
      <c r="B9" s="132">
        <v>46232.0</v>
      </c>
      <c r="C9" s="146"/>
      <c r="D9" s="135">
        <f t="shared" si="1"/>
        <v>272.1</v>
      </c>
      <c r="E9" s="135">
        <f t="shared" si="2"/>
        <v>485.9</v>
      </c>
      <c r="F9" s="133">
        <f t="shared" si="3"/>
        <v>758</v>
      </c>
      <c r="G9" s="135">
        <f t="shared" si="4"/>
        <v>26723.6</v>
      </c>
    </row>
    <row r="10" ht="14.25" customHeight="1">
      <c r="A10" s="131">
        <v>6.0</v>
      </c>
      <c r="B10" s="132">
        <v>46263.0</v>
      </c>
      <c r="C10" s="146"/>
      <c r="D10" s="135">
        <f t="shared" si="1"/>
        <v>267.2</v>
      </c>
      <c r="E10" s="135">
        <f t="shared" si="2"/>
        <v>485.9</v>
      </c>
      <c r="F10" s="133">
        <f t="shared" si="3"/>
        <v>753.1</v>
      </c>
      <c r="G10" s="135">
        <f t="shared" si="4"/>
        <v>26237.7</v>
      </c>
    </row>
    <row r="11" ht="14.25" customHeight="1">
      <c r="A11" s="131">
        <v>7.0</v>
      </c>
      <c r="B11" s="132">
        <v>46294.0</v>
      </c>
      <c r="C11" s="146"/>
      <c r="D11" s="135">
        <f t="shared" si="1"/>
        <v>262.4</v>
      </c>
      <c r="E11" s="135">
        <f t="shared" si="2"/>
        <v>485.9</v>
      </c>
      <c r="F11" s="133">
        <f t="shared" si="3"/>
        <v>748.3</v>
      </c>
      <c r="G11" s="135">
        <f t="shared" si="4"/>
        <v>25751.8</v>
      </c>
    </row>
    <row r="12" ht="14.25" customHeight="1">
      <c r="A12" s="131">
        <v>8.0</v>
      </c>
      <c r="B12" s="132">
        <v>46324.0</v>
      </c>
      <c r="C12" s="146"/>
      <c r="D12" s="135">
        <f t="shared" si="1"/>
        <v>257.5</v>
      </c>
      <c r="E12" s="135">
        <f t="shared" si="2"/>
        <v>485.9</v>
      </c>
      <c r="F12" s="133">
        <f t="shared" si="3"/>
        <v>743.4</v>
      </c>
      <c r="G12" s="135">
        <f t="shared" si="4"/>
        <v>25265.9</v>
      </c>
    </row>
    <row r="13" ht="14.25" customHeight="1">
      <c r="A13" s="131">
        <v>9.0</v>
      </c>
      <c r="B13" s="132">
        <v>46355.0</v>
      </c>
      <c r="C13" s="146"/>
      <c r="D13" s="135">
        <f t="shared" si="1"/>
        <v>252.7</v>
      </c>
      <c r="E13" s="135">
        <f t="shared" si="2"/>
        <v>485.9</v>
      </c>
      <c r="F13" s="133">
        <f t="shared" si="3"/>
        <v>738.6</v>
      </c>
      <c r="G13" s="135">
        <f t="shared" si="4"/>
        <v>24780</v>
      </c>
    </row>
    <row r="14" ht="14.25" customHeight="1">
      <c r="A14" s="131">
        <v>10.0</v>
      </c>
      <c r="B14" s="132">
        <v>46385.0</v>
      </c>
      <c r="C14" s="146"/>
      <c r="D14" s="135">
        <f t="shared" si="1"/>
        <v>247.8</v>
      </c>
      <c r="E14" s="135">
        <f t="shared" si="2"/>
        <v>485.9</v>
      </c>
      <c r="F14" s="133">
        <f t="shared" si="3"/>
        <v>733.7</v>
      </c>
      <c r="G14" s="135">
        <f t="shared" si="4"/>
        <v>24294.1</v>
      </c>
    </row>
    <row r="15" ht="14.25" customHeight="1">
      <c r="A15" s="131">
        <v>11.0</v>
      </c>
      <c r="B15" s="132">
        <v>46416.0</v>
      </c>
      <c r="C15" s="146"/>
      <c r="D15" s="135">
        <f t="shared" si="1"/>
        <v>242.9</v>
      </c>
      <c r="E15" s="135">
        <f t="shared" si="2"/>
        <v>485.9</v>
      </c>
      <c r="F15" s="133">
        <f t="shared" si="3"/>
        <v>728.8</v>
      </c>
      <c r="G15" s="135">
        <f t="shared" si="4"/>
        <v>23808.2</v>
      </c>
    </row>
    <row r="16" ht="14.25" customHeight="1">
      <c r="A16" s="131">
        <v>12.0</v>
      </c>
      <c r="B16" s="132">
        <v>46446.0</v>
      </c>
      <c r="C16" s="146"/>
      <c r="D16" s="135">
        <f t="shared" si="1"/>
        <v>238.1</v>
      </c>
      <c r="E16" s="135">
        <f t="shared" si="2"/>
        <v>485.9</v>
      </c>
      <c r="F16" s="133">
        <f t="shared" si="3"/>
        <v>724</v>
      </c>
      <c r="G16" s="135">
        <f t="shared" si="4"/>
        <v>23322.3</v>
      </c>
    </row>
    <row r="17" ht="14.25" customHeight="1">
      <c r="A17" s="131">
        <v>13.0</v>
      </c>
      <c r="B17" s="132">
        <v>46475.0</v>
      </c>
      <c r="C17" s="146"/>
      <c r="D17" s="135">
        <f t="shared" si="1"/>
        <v>233.2</v>
      </c>
      <c r="E17" s="135">
        <f t="shared" si="2"/>
        <v>485.9</v>
      </c>
      <c r="F17" s="133">
        <f t="shared" si="3"/>
        <v>719.1</v>
      </c>
      <c r="G17" s="135">
        <f t="shared" si="4"/>
        <v>22836.4</v>
      </c>
    </row>
    <row r="18" ht="14.25" customHeight="1">
      <c r="A18" s="131">
        <v>14.0</v>
      </c>
      <c r="B18" s="132">
        <v>46506.0</v>
      </c>
      <c r="C18" s="146"/>
      <c r="D18" s="135">
        <f t="shared" si="1"/>
        <v>228.4</v>
      </c>
      <c r="E18" s="135">
        <f t="shared" si="2"/>
        <v>485.9</v>
      </c>
      <c r="F18" s="133">
        <f t="shared" si="3"/>
        <v>714.3</v>
      </c>
      <c r="G18" s="135">
        <f t="shared" si="4"/>
        <v>22350.5</v>
      </c>
    </row>
    <row r="19" ht="14.25" customHeight="1">
      <c r="A19" s="131">
        <v>15.0</v>
      </c>
      <c r="B19" s="132">
        <v>46536.0</v>
      </c>
      <c r="C19" s="146"/>
      <c r="D19" s="135">
        <f t="shared" si="1"/>
        <v>223.5</v>
      </c>
      <c r="E19" s="135">
        <f t="shared" si="2"/>
        <v>485.9</v>
      </c>
      <c r="F19" s="133">
        <f t="shared" si="3"/>
        <v>709.4</v>
      </c>
      <c r="G19" s="135">
        <f t="shared" si="4"/>
        <v>21864.6</v>
      </c>
    </row>
    <row r="20" ht="14.25" customHeight="1">
      <c r="A20" s="131">
        <v>16.0</v>
      </c>
      <c r="B20" s="132">
        <v>46567.0</v>
      </c>
      <c r="C20" s="146"/>
      <c r="D20" s="135">
        <f t="shared" si="1"/>
        <v>218.6</v>
      </c>
      <c r="E20" s="135">
        <f t="shared" si="2"/>
        <v>485.9</v>
      </c>
      <c r="F20" s="133">
        <f t="shared" si="3"/>
        <v>704.5</v>
      </c>
      <c r="G20" s="135">
        <f t="shared" si="4"/>
        <v>21378.7</v>
      </c>
    </row>
    <row r="21" ht="14.25" customHeight="1">
      <c r="A21" s="131">
        <v>17.0</v>
      </c>
      <c r="B21" s="132">
        <v>46597.0</v>
      </c>
      <c r="C21" s="146"/>
      <c r="D21" s="135">
        <f t="shared" si="1"/>
        <v>213.8</v>
      </c>
      <c r="E21" s="135">
        <f t="shared" si="2"/>
        <v>485.9</v>
      </c>
      <c r="F21" s="133">
        <f t="shared" si="3"/>
        <v>699.7</v>
      </c>
      <c r="G21" s="135">
        <f t="shared" si="4"/>
        <v>20892.8</v>
      </c>
    </row>
    <row r="22" ht="14.25" customHeight="1">
      <c r="A22" s="131">
        <v>18.0</v>
      </c>
      <c r="B22" s="132">
        <v>46628.0</v>
      </c>
      <c r="C22" s="146"/>
      <c r="D22" s="135">
        <f t="shared" si="1"/>
        <v>208.9</v>
      </c>
      <c r="E22" s="135">
        <f t="shared" si="2"/>
        <v>485.9</v>
      </c>
      <c r="F22" s="133">
        <f t="shared" si="3"/>
        <v>694.8</v>
      </c>
      <c r="G22" s="135">
        <f t="shared" si="4"/>
        <v>20406.9</v>
      </c>
    </row>
    <row r="23" ht="14.25" customHeight="1">
      <c r="A23" s="131">
        <v>19.0</v>
      </c>
      <c r="B23" s="132">
        <v>46659.0</v>
      </c>
      <c r="C23" s="146"/>
      <c r="D23" s="135">
        <f t="shared" si="1"/>
        <v>204.1</v>
      </c>
      <c r="E23" s="135">
        <f t="shared" si="2"/>
        <v>485.9</v>
      </c>
      <c r="F23" s="133">
        <f t="shared" si="3"/>
        <v>690</v>
      </c>
      <c r="G23" s="135">
        <f t="shared" si="4"/>
        <v>19921</v>
      </c>
    </row>
    <row r="24" ht="14.25" customHeight="1">
      <c r="A24" s="131">
        <v>20.0</v>
      </c>
      <c r="B24" s="132">
        <v>46689.0</v>
      </c>
      <c r="C24" s="146"/>
      <c r="D24" s="135">
        <f t="shared" si="1"/>
        <v>199.2</v>
      </c>
      <c r="E24" s="135">
        <f t="shared" si="2"/>
        <v>485.9</v>
      </c>
      <c r="F24" s="133">
        <f t="shared" si="3"/>
        <v>685.1</v>
      </c>
      <c r="G24" s="135">
        <f t="shared" si="4"/>
        <v>19435.1</v>
      </c>
    </row>
    <row r="25" ht="14.25" customHeight="1">
      <c r="A25" s="131">
        <v>21.0</v>
      </c>
      <c r="B25" s="132">
        <v>46720.0</v>
      </c>
      <c r="C25" s="146"/>
      <c r="D25" s="135">
        <f t="shared" si="1"/>
        <v>194.4</v>
      </c>
      <c r="E25" s="135">
        <f t="shared" si="2"/>
        <v>485.9</v>
      </c>
      <c r="F25" s="133">
        <f t="shared" si="3"/>
        <v>680.3</v>
      </c>
      <c r="G25" s="135">
        <f t="shared" si="4"/>
        <v>18949.2</v>
      </c>
    </row>
    <row r="26" ht="14.25" customHeight="1">
      <c r="A26" s="131">
        <v>22.0</v>
      </c>
      <c r="B26" s="132">
        <v>46750.0</v>
      </c>
      <c r="C26" s="146"/>
      <c r="D26" s="135">
        <f t="shared" si="1"/>
        <v>189.5</v>
      </c>
      <c r="E26" s="135">
        <f t="shared" si="2"/>
        <v>485.9</v>
      </c>
      <c r="F26" s="133">
        <f t="shared" si="3"/>
        <v>675.4</v>
      </c>
      <c r="G26" s="135">
        <f t="shared" si="4"/>
        <v>18463.3</v>
      </c>
    </row>
    <row r="27" ht="14.25" customHeight="1">
      <c r="A27" s="131">
        <v>23.0</v>
      </c>
      <c r="B27" s="132">
        <v>46781.0</v>
      </c>
      <c r="C27" s="146"/>
      <c r="D27" s="135">
        <f t="shared" si="1"/>
        <v>184.6</v>
      </c>
      <c r="E27" s="135">
        <f t="shared" si="2"/>
        <v>485.9</v>
      </c>
      <c r="F27" s="133">
        <f t="shared" si="3"/>
        <v>670.5</v>
      </c>
      <c r="G27" s="135">
        <f t="shared" si="4"/>
        <v>17977.4</v>
      </c>
    </row>
    <row r="28" ht="14.25" customHeight="1">
      <c r="A28" s="131">
        <v>24.0</v>
      </c>
      <c r="B28" s="132">
        <v>46812.0</v>
      </c>
      <c r="C28" s="146"/>
      <c r="D28" s="135">
        <f t="shared" si="1"/>
        <v>179.8</v>
      </c>
      <c r="E28" s="135">
        <f t="shared" si="2"/>
        <v>485.9</v>
      </c>
      <c r="F28" s="133">
        <f t="shared" si="3"/>
        <v>665.7</v>
      </c>
      <c r="G28" s="135">
        <f t="shared" si="4"/>
        <v>17491.5</v>
      </c>
    </row>
    <row r="29" ht="14.25" customHeight="1">
      <c r="A29" s="131">
        <v>25.0</v>
      </c>
      <c r="B29" s="132">
        <v>46841.0</v>
      </c>
      <c r="C29" s="146"/>
      <c r="D29" s="135">
        <f t="shared" si="1"/>
        <v>174.9</v>
      </c>
      <c r="E29" s="135">
        <f t="shared" si="2"/>
        <v>485.9</v>
      </c>
      <c r="F29" s="133">
        <f t="shared" si="3"/>
        <v>660.8</v>
      </c>
      <c r="G29" s="135">
        <f t="shared" si="4"/>
        <v>17005.6</v>
      </c>
    </row>
    <row r="30" ht="14.25" customHeight="1">
      <c r="A30" s="131">
        <v>26.0</v>
      </c>
      <c r="B30" s="132">
        <v>46872.0</v>
      </c>
      <c r="C30" s="146"/>
      <c r="D30" s="135">
        <f t="shared" si="1"/>
        <v>170.1</v>
      </c>
      <c r="E30" s="135">
        <f t="shared" si="2"/>
        <v>485.9</v>
      </c>
      <c r="F30" s="133">
        <f t="shared" si="3"/>
        <v>656</v>
      </c>
      <c r="G30" s="135">
        <f t="shared" si="4"/>
        <v>16519.7</v>
      </c>
    </row>
    <row r="31" ht="14.25" customHeight="1">
      <c r="A31" s="131">
        <v>27.0</v>
      </c>
      <c r="B31" s="132">
        <v>46902.0</v>
      </c>
      <c r="C31" s="146"/>
      <c r="D31" s="135">
        <f t="shared" si="1"/>
        <v>165.2</v>
      </c>
      <c r="E31" s="135">
        <f t="shared" si="2"/>
        <v>485.9</v>
      </c>
      <c r="F31" s="133">
        <f t="shared" si="3"/>
        <v>651.1</v>
      </c>
      <c r="G31" s="135">
        <f t="shared" si="4"/>
        <v>16033.8</v>
      </c>
    </row>
    <row r="32" ht="14.25" customHeight="1">
      <c r="A32" s="131">
        <v>28.0</v>
      </c>
      <c r="B32" s="132">
        <v>46933.0</v>
      </c>
      <c r="C32" s="146"/>
      <c r="D32" s="135">
        <f t="shared" si="1"/>
        <v>160.3</v>
      </c>
      <c r="E32" s="135">
        <f t="shared" si="2"/>
        <v>485.9</v>
      </c>
      <c r="F32" s="133">
        <f t="shared" si="3"/>
        <v>646.2</v>
      </c>
      <c r="G32" s="135">
        <f t="shared" si="4"/>
        <v>15547.9</v>
      </c>
    </row>
    <row r="33" ht="14.25" customHeight="1">
      <c r="A33" s="131">
        <v>29.0</v>
      </c>
      <c r="B33" s="132">
        <v>46963.0</v>
      </c>
      <c r="C33" s="146"/>
      <c r="D33" s="135">
        <f t="shared" si="1"/>
        <v>155.5</v>
      </c>
      <c r="E33" s="135">
        <f t="shared" si="2"/>
        <v>485.9</v>
      </c>
      <c r="F33" s="133">
        <f t="shared" si="3"/>
        <v>641.4</v>
      </c>
      <c r="G33" s="135">
        <f t="shared" si="4"/>
        <v>15062</v>
      </c>
    </row>
    <row r="34" ht="14.25" customHeight="1">
      <c r="A34" s="131">
        <v>30.0</v>
      </c>
      <c r="B34" s="132">
        <v>46994.0</v>
      </c>
      <c r="C34" s="146"/>
      <c r="D34" s="135">
        <f t="shared" si="1"/>
        <v>150.6</v>
      </c>
      <c r="E34" s="135">
        <f t="shared" si="2"/>
        <v>485.9</v>
      </c>
      <c r="F34" s="133">
        <f t="shared" si="3"/>
        <v>636.5</v>
      </c>
      <c r="G34" s="135">
        <f t="shared" si="4"/>
        <v>14576.1</v>
      </c>
    </row>
    <row r="35" ht="14.25" customHeight="1">
      <c r="A35" s="131">
        <v>31.0</v>
      </c>
      <c r="B35" s="132">
        <v>47025.0</v>
      </c>
      <c r="C35" s="146"/>
      <c r="D35" s="135">
        <f t="shared" si="1"/>
        <v>145.8</v>
      </c>
      <c r="E35" s="135">
        <f t="shared" si="2"/>
        <v>485.9</v>
      </c>
      <c r="F35" s="133">
        <f t="shared" si="3"/>
        <v>631.7</v>
      </c>
      <c r="G35" s="135">
        <f t="shared" si="4"/>
        <v>14090.2</v>
      </c>
    </row>
    <row r="36" ht="14.25" customHeight="1">
      <c r="A36" s="131">
        <v>32.0</v>
      </c>
      <c r="B36" s="132">
        <v>47055.0</v>
      </c>
      <c r="C36" s="146"/>
      <c r="D36" s="135">
        <f t="shared" si="1"/>
        <v>140.9</v>
      </c>
      <c r="E36" s="135">
        <f t="shared" si="2"/>
        <v>485.9</v>
      </c>
      <c r="F36" s="133">
        <f t="shared" si="3"/>
        <v>626.8</v>
      </c>
      <c r="G36" s="135">
        <f t="shared" si="4"/>
        <v>13604.3</v>
      </c>
    </row>
    <row r="37" ht="14.25" customHeight="1">
      <c r="A37" s="131">
        <v>33.0</v>
      </c>
      <c r="B37" s="132">
        <v>47086.0</v>
      </c>
      <c r="C37" s="146"/>
      <c r="D37" s="135">
        <f t="shared" si="1"/>
        <v>136</v>
      </c>
      <c r="E37" s="135">
        <f t="shared" si="2"/>
        <v>485.9</v>
      </c>
      <c r="F37" s="133">
        <f t="shared" si="3"/>
        <v>621.9</v>
      </c>
      <c r="G37" s="135">
        <f t="shared" si="4"/>
        <v>13118.4</v>
      </c>
    </row>
    <row r="38" ht="14.25" customHeight="1">
      <c r="A38" s="131">
        <v>34.0</v>
      </c>
      <c r="B38" s="132">
        <v>47116.0</v>
      </c>
      <c r="C38" s="146"/>
      <c r="D38" s="135">
        <f t="shared" si="1"/>
        <v>131.2</v>
      </c>
      <c r="E38" s="135">
        <f t="shared" si="2"/>
        <v>485.9</v>
      </c>
      <c r="F38" s="133">
        <f t="shared" si="3"/>
        <v>617.1</v>
      </c>
      <c r="G38" s="135">
        <f t="shared" si="4"/>
        <v>12632.5</v>
      </c>
    </row>
    <row r="39" ht="14.25" customHeight="1">
      <c r="A39" s="131">
        <v>35.0</v>
      </c>
      <c r="B39" s="132">
        <v>47147.0</v>
      </c>
      <c r="C39" s="146"/>
      <c r="D39" s="135">
        <f t="shared" si="1"/>
        <v>126.3</v>
      </c>
      <c r="E39" s="135">
        <f t="shared" si="2"/>
        <v>485.9</v>
      </c>
      <c r="F39" s="133">
        <f t="shared" si="3"/>
        <v>612.2</v>
      </c>
      <c r="G39" s="135">
        <f t="shared" si="4"/>
        <v>12146.6</v>
      </c>
    </row>
    <row r="40" ht="14.25" customHeight="1">
      <c r="A40" s="131">
        <v>36.0</v>
      </c>
      <c r="B40" s="132">
        <v>47177.0</v>
      </c>
      <c r="C40" s="146"/>
      <c r="D40" s="135">
        <f t="shared" si="1"/>
        <v>121.5</v>
      </c>
      <c r="E40" s="135">
        <f t="shared" si="2"/>
        <v>485.9</v>
      </c>
      <c r="F40" s="133">
        <f t="shared" si="3"/>
        <v>607.4</v>
      </c>
      <c r="G40" s="135">
        <f t="shared" si="4"/>
        <v>11660.7</v>
      </c>
    </row>
    <row r="41" ht="14.25" customHeight="1">
      <c r="A41" s="131">
        <v>37.0</v>
      </c>
      <c r="B41" s="132">
        <v>47206.0</v>
      </c>
      <c r="C41" s="146"/>
      <c r="D41" s="135">
        <f t="shared" si="1"/>
        <v>116.6</v>
      </c>
      <c r="E41" s="135">
        <f t="shared" si="2"/>
        <v>485.9</v>
      </c>
      <c r="F41" s="133">
        <f t="shared" si="3"/>
        <v>602.5</v>
      </c>
      <c r="G41" s="135">
        <f t="shared" si="4"/>
        <v>11174.8</v>
      </c>
    </row>
    <row r="42" ht="14.25" customHeight="1">
      <c r="A42" s="131">
        <v>38.0</v>
      </c>
      <c r="B42" s="132">
        <v>47237.0</v>
      </c>
      <c r="C42" s="146"/>
      <c r="D42" s="135">
        <f t="shared" si="1"/>
        <v>111.7</v>
      </c>
      <c r="E42" s="135">
        <f t="shared" si="2"/>
        <v>485.9</v>
      </c>
      <c r="F42" s="133">
        <f t="shared" si="3"/>
        <v>597.6</v>
      </c>
      <c r="G42" s="135">
        <f t="shared" si="4"/>
        <v>10688.9</v>
      </c>
    </row>
    <row r="43" ht="14.25" customHeight="1">
      <c r="A43" s="131">
        <v>39.0</v>
      </c>
      <c r="B43" s="132">
        <v>47267.0</v>
      </c>
      <c r="C43" s="146"/>
      <c r="D43" s="135">
        <f t="shared" si="1"/>
        <v>106.9</v>
      </c>
      <c r="E43" s="135">
        <f t="shared" si="2"/>
        <v>485.9</v>
      </c>
      <c r="F43" s="133">
        <f t="shared" si="3"/>
        <v>592.8</v>
      </c>
      <c r="G43" s="135">
        <f t="shared" si="4"/>
        <v>10203</v>
      </c>
    </row>
    <row r="44" ht="14.25" customHeight="1">
      <c r="A44" s="131">
        <v>40.0</v>
      </c>
      <c r="B44" s="132">
        <v>47298.0</v>
      </c>
      <c r="C44" s="146"/>
      <c r="D44" s="135">
        <f t="shared" si="1"/>
        <v>102</v>
      </c>
      <c r="E44" s="135">
        <f t="shared" si="2"/>
        <v>485.9</v>
      </c>
      <c r="F44" s="133">
        <f t="shared" si="3"/>
        <v>587.9</v>
      </c>
      <c r="G44" s="135">
        <f t="shared" si="4"/>
        <v>9717.1</v>
      </c>
    </row>
    <row r="45" ht="14.25" customHeight="1">
      <c r="A45" s="131">
        <v>41.0</v>
      </c>
      <c r="B45" s="132">
        <v>47328.0</v>
      </c>
      <c r="C45" s="146"/>
      <c r="D45" s="135">
        <f t="shared" si="1"/>
        <v>97.2</v>
      </c>
      <c r="E45" s="135">
        <f t="shared" si="2"/>
        <v>485.9</v>
      </c>
      <c r="F45" s="133">
        <f t="shared" si="3"/>
        <v>583.1</v>
      </c>
      <c r="G45" s="135">
        <f t="shared" si="4"/>
        <v>9231.2</v>
      </c>
    </row>
    <row r="46" ht="14.25" customHeight="1">
      <c r="A46" s="131">
        <v>42.0</v>
      </c>
      <c r="B46" s="132">
        <v>47359.0</v>
      </c>
      <c r="C46" s="146"/>
      <c r="D46" s="135">
        <f t="shared" si="1"/>
        <v>92.3</v>
      </c>
      <c r="E46" s="135">
        <f t="shared" si="2"/>
        <v>485.9</v>
      </c>
      <c r="F46" s="133">
        <f t="shared" si="3"/>
        <v>578.2</v>
      </c>
      <c r="G46" s="135">
        <f t="shared" si="4"/>
        <v>8745.3</v>
      </c>
    </row>
    <row r="47" ht="14.25" customHeight="1">
      <c r="A47" s="131">
        <v>43.0</v>
      </c>
      <c r="B47" s="132">
        <v>47390.0</v>
      </c>
      <c r="C47" s="146"/>
      <c r="D47" s="135">
        <f t="shared" si="1"/>
        <v>87.5</v>
      </c>
      <c r="E47" s="135">
        <f t="shared" si="2"/>
        <v>485.9</v>
      </c>
      <c r="F47" s="133">
        <f t="shared" si="3"/>
        <v>573.4</v>
      </c>
      <c r="G47" s="135">
        <f t="shared" si="4"/>
        <v>8259.4</v>
      </c>
    </row>
    <row r="48" ht="14.25" customHeight="1">
      <c r="A48" s="131">
        <v>44.0</v>
      </c>
      <c r="B48" s="132">
        <v>47420.0</v>
      </c>
      <c r="C48" s="146"/>
      <c r="D48" s="135">
        <f t="shared" si="1"/>
        <v>82.6</v>
      </c>
      <c r="E48" s="135">
        <f t="shared" si="2"/>
        <v>485.9</v>
      </c>
      <c r="F48" s="133">
        <f t="shared" si="3"/>
        <v>568.5</v>
      </c>
      <c r="G48" s="135">
        <f t="shared" si="4"/>
        <v>7773.5</v>
      </c>
    </row>
    <row r="49" ht="14.25" customHeight="1">
      <c r="A49" s="131">
        <v>45.0</v>
      </c>
      <c r="B49" s="132">
        <v>47451.0</v>
      </c>
      <c r="C49" s="146"/>
      <c r="D49" s="135">
        <f t="shared" si="1"/>
        <v>77.7</v>
      </c>
      <c r="E49" s="135">
        <f t="shared" si="2"/>
        <v>485.9</v>
      </c>
      <c r="F49" s="133">
        <f t="shared" si="3"/>
        <v>563.6</v>
      </c>
      <c r="G49" s="135">
        <f t="shared" si="4"/>
        <v>7287.6</v>
      </c>
    </row>
    <row r="50" ht="14.25" customHeight="1">
      <c r="A50" s="131">
        <v>46.0</v>
      </c>
      <c r="B50" s="132">
        <v>47481.0</v>
      </c>
      <c r="C50" s="146"/>
      <c r="D50" s="135">
        <f t="shared" si="1"/>
        <v>72.9</v>
      </c>
      <c r="E50" s="135">
        <f t="shared" si="2"/>
        <v>485.9</v>
      </c>
      <c r="F50" s="133">
        <f t="shared" si="3"/>
        <v>558.8</v>
      </c>
      <c r="G50" s="135">
        <f t="shared" si="4"/>
        <v>6801.7</v>
      </c>
    </row>
    <row r="51" ht="14.25" customHeight="1">
      <c r="A51" s="131">
        <v>47.0</v>
      </c>
      <c r="B51" s="132">
        <v>47512.0</v>
      </c>
      <c r="C51" s="146"/>
      <c r="D51" s="135">
        <f t="shared" si="1"/>
        <v>68</v>
      </c>
      <c r="E51" s="135">
        <f t="shared" si="2"/>
        <v>485.9</v>
      </c>
      <c r="F51" s="133">
        <f t="shared" si="3"/>
        <v>553.9</v>
      </c>
      <c r="G51" s="135">
        <f t="shared" si="4"/>
        <v>6315.8</v>
      </c>
    </row>
    <row r="52" ht="14.25" customHeight="1">
      <c r="A52" s="131">
        <v>48.0</v>
      </c>
      <c r="B52" s="132">
        <v>47542.0</v>
      </c>
      <c r="C52" s="146"/>
      <c r="D52" s="135">
        <f t="shared" si="1"/>
        <v>63.2</v>
      </c>
      <c r="E52" s="135">
        <f t="shared" si="2"/>
        <v>485.9</v>
      </c>
      <c r="F52" s="133">
        <f t="shared" si="3"/>
        <v>549.1</v>
      </c>
      <c r="G52" s="135">
        <f t="shared" si="4"/>
        <v>5829.9</v>
      </c>
    </row>
    <row r="53" ht="14.25" customHeight="1">
      <c r="A53" s="131">
        <v>49.0</v>
      </c>
      <c r="B53" s="132">
        <v>47571.0</v>
      </c>
      <c r="C53" s="146"/>
      <c r="D53" s="135">
        <f t="shared" si="1"/>
        <v>58.3</v>
      </c>
      <c r="E53" s="135">
        <f t="shared" si="2"/>
        <v>485.9</v>
      </c>
      <c r="F53" s="133">
        <f t="shared" si="3"/>
        <v>544.2</v>
      </c>
      <c r="G53" s="135">
        <f t="shared" si="4"/>
        <v>5344</v>
      </c>
    </row>
    <row r="54" ht="14.25" customHeight="1">
      <c r="A54" s="131">
        <v>50.0</v>
      </c>
      <c r="B54" s="132">
        <v>47602.0</v>
      </c>
      <c r="C54" s="146"/>
      <c r="D54" s="135">
        <f t="shared" si="1"/>
        <v>53.4</v>
      </c>
      <c r="E54" s="135">
        <f t="shared" si="2"/>
        <v>485.9</v>
      </c>
      <c r="F54" s="133">
        <f t="shared" si="3"/>
        <v>539.3</v>
      </c>
      <c r="G54" s="135">
        <f t="shared" si="4"/>
        <v>4858.1</v>
      </c>
    </row>
    <row r="55" ht="14.25" customHeight="1">
      <c r="A55" s="131">
        <v>51.0</v>
      </c>
      <c r="B55" s="132">
        <v>47632.0</v>
      </c>
      <c r="C55" s="146"/>
      <c r="D55" s="135">
        <f t="shared" si="1"/>
        <v>48.6</v>
      </c>
      <c r="E55" s="135">
        <f t="shared" si="2"/>
        <v>485.9</v>
      </c>
      <c r="F55" s="133">
        <f t="shared" si="3"/>
        <v>534.5</v>
      </c>
      <c r="G55" s="135">
        <f t="shared" si="4"/>
        <v>4372.2</v>
      </c>
    </row>
    <row r="56" ht="14.25" customHeight="1">
      <c r="A56" s="131">
        <v>52.0</v>
      </c>
      <c r="B56" s="132">
        <v>47663.0</v>
      </c>
      <c r="C56" s="146"/>
      <c r="D56" s="135">
        <f t="shared" si="1"/>
        <v>43.7</v>
      </c>
      <c r="E56" s="135">
        <f t="shared" si="2"/>
        <v>485.9</v>
      </c>
      <c r="F56" s="133">
        <f t="shared" si="3"/>
        <v>529.6</v>
      </c>
      <c r="G56" s="135">
        <f t="shared" si="4"/>
        <v>3886.3</v>
      </c>
    </row>
    <row r="57" ht="14.25" customHeight="1">
      <c r="A57" s="131">
        <v>53.0</v>
      </c>
      <c r="B57" s="132">
        <v>47693.0</v>
      </c>
      <c r="C57" s="146"/>
      <c r="D57" s="135">
        <f t="shared" si="1"/>
        <v>38.9</v>
      </c>
      <c r="E57" s="135">
        <f t="shared" si="2"/>
        <v>485.9</v>
      </c>
      <c r="F57" s="133">
        <f t="shared" si="3"/>
        <v>524.8</v>
      </c>
      <c r="G57" s="135">
        <f t="shared" si="4"/>
        <v>3400.4</v>
      </c>
    </row>
    <row r="58" ht="14.25" customHeight="1">
      <c r="A58" s="131">
        <v>54.0</v>
      </c>
      <c r="B58" s="132">
        <v>47724.0</v>
      </c>
      <c r="C58" s="146"/>
      <c r="D58" s="135">
        <f t="shared" si="1"/>
        <v>34</v>
      </c>
      <c r="E58" s="135">
        <f t="shared" si="2"/>
        <v>485.9</v>
      </c>
      <c r="F58" s="133">
        <f t="shared" si="3"/>
        <v>519.9</v>
      </c>
      <c r="G58" s="135">
        <f t="shared" si="4"/>
        <v>2914.5</v>
      </c>
    </row>
    <row r="59" ht="14.25" customHeight="1">
      <c r="A59" s="131">
        <v>55.0</v>
      </c>
      <c r="B59" s="132">
        <v>47755.0</v>
      </c>
      <c r="C59" s="146"/>
      <c r="D59" s="135">
        <f t="shared" si="1"/>
        <v>29.1</v>
      </c>
      <c r="E59" s="135">
        <f t="shared" si="2"/>
        <v>485.9</v>
      </c>
      <c r="F59" s="133">
        <f t="shared" si="3"/>
        <v>515</v>
      </c>
      <c r="G59" s="135">
        <f t="shared" si="4"/>
        <v>2428.6</v>
      </c>
    </row>
    <row r="60" ht="14.25" customHeight="1">
      <c r="A60" s="131">
        <v>56.0</v>
      </c>
      <c r="B60" s="132">
        <v>47785.0</v>
      </c>
      <c r="C60" s="146"/>
      <c r="D60" s="135">
        <f t="shared" si="1"/>
        <v>24.3</v>
      </c>
      <c r="E60" s="135">
        <f t="shared" si="2"/>
        <v>485.9</v>
      </c>
      <c r="F60" s="133">
        <f t="shared" si="3"/>
        <v>510.2</v>
      </c>
      <c r="G60" s="135">
        <f t="shared" si="4"/>
        <v>1942.7</v>
      </c>
    </row>
    <row r="61" ht="14.25" customHeight="1">
      <c r="A61" s="131">
        <v>57.0</v>
      </c>
      <c r="B61" s="132">
        <v>47816.0</v>
      </c>
      <c r="C61" s="146"/>
      <c r="D61" s="135">
        <f t="shared" si="1"/>
        <v>19.4</v>
      </c>
      <c r="E61" s="135">
        <f t="shared" si="2"/>
        <v>485.9</v>
      </c>
      <c r="F61" s="133">
        <f t="shared" si="3"/>
        <v>505.3</v>
      </c>
      <c r="G61" s="135">
        <f t="shared" si="4"/>
        <v>1456.8</v>
      </c>
    </row>
    <row r="62" ht="14.25" customHeight="1">
      <c r="A62" s="131">
        <v>58.0</v>
      </c>
      <c r="B62" s="132">
        <v>47846.0</v>
      </c>
      <c r="C62" s="146"/>
      <c r="D62" s="135">
        <f t="shared" si="1"/>
        <v>14.6</v>
      </c>
      <c r="E62" s="135">
        <f t="shared" si="2"/>
        <v>485.9</v>
      </c>
      <c r="F62" s="133">
        <f t="shared" si="3"/>
        <v>500.5</v>
      </c>
      <c r="G62" s="135">
        <f t="shared" si="4"/>
        <v>970.9</v>
      </c>
    </row>
    <row r="63" ht="14.25" customHeight="1">
      <c r="A63" s="131">
        <v>59.0</v>
      </c>
      <c r="B63" s="132">
        <v>47877.0</v>
      </c>
      <c r="C63" s="146"/>
      <c r="D63" s="135">
        <f t="shared" si="1"/>
        <v>9.7</v>
      </c>
      <c r="E63" s="135">
        <f t="shared" si="2"/>
        <v>485.9</v>
      </c>
      <c r="F63" s="133">
        <f t="shared" si="3"/>
        <v>495.6</v>
      </c>
      <c r="G63" s="135">
        <f t="shared" si="4"/>
        <v>485</v>
      </c>
    </row>
    <row r="64" ht="14.25" customHeight="1">
      <c r="A64" s="131">
        <v>60.0</v>
      </c>
      <c r="B64" s="132">
        <v>47907.0</v>
      </c>
      <c r="C64" s="146"/>
      <c r="D64" s="135">
        <f t="shared" si="1"/>
        <v>4.9</v>
      </c>
      <c r="E64" s="135">
        <f>ROUNDUP($C$4/60,1)-0.9</f>
        <v>485</v>
      </c>
      <c r="F64" s="133">
        <f t="shared" si="3"/>
        <v>489.9</v>
      </c>
      <c r="G64" s="135">
        <f t="shared" si="4"/>
        <v>0</v>
      </c>
    </row>
    <row r="65" ht="14.25" customHeight="1">
      <c r="A65" s="129" t="s">
        <v>252</v>
      </c>
      <c r="B65" s="2"/>
      <c r="C65" s="3"/>
      <c r="D65" s="147">
        <f t="shared" ref="D65:F65" si="5">+SUM(D5:D64)</f>
        <v>8891.5</v>
      </c>
      <c r="E65" s="147">
        <f t="shared" si="5"/>
        <v>29153.1</v>
      </c>
      <c r="F65" s="147">
        <f t="shared" si="5"/>
        <v>38044.6</v>
      </c>
      <c r="G65" s="148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65:C6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3.5"/>
    <col customWidth="1" min="10" max="10" width="14.63"/>
    <col customWidth="1" min="11" max="26" width="10.63"/>
  </cols>
  <sheetData>
    <row r="1" ht="14.25" customHeight="1">
      <c r="A1" s="128" t="s">
        <v>334</v>
      </c>
      <c r="B1" s="2"/>
      <c r="C1" s="2"/>
      <c r="D1" s="2"/>
      <c r="E1" s="2"/>
      <c r="F1" s="2"/>
      <c r="G1" s="3"/>
    </row>
    <row r="2" ht="14.25" customHeight="1">
      <c r="A2" s="129" t="s">
        <v>335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45806.0</v>
      </c>
      <c r="C4" s="133">
        <f>+J7</f>
        <v>43268.3</v>
      </c>
      <c r="D4" s="134">
        <v>0.01</v>
      </c>
      <c r="E4" s="135"/>
      <c r="F4" s="135"/>
      <c r="G4" s="135">
        <f>+C4</f>
        <v>43268.3</v>
      </c>
    </row>
    <row r="5" ht="14.25" customHeight="1">
      <c r="A5" s="136">
        <v>1.0</v>
      </c>
      <c r="B5" s="137">
        <v>45837.0</v>
      </c>
      <c r="C5" s="138"/>
      <c r="D5" s="138">
        <f t="shared" ref="D5:D88" si="1">+ROUND(G4*0.01,1)</f>
        <v>432.7</v>
      </c>
      <c r="E5" s="138">
        <f>ROUNDUP(C4/84,1)</f>
        <v>515.1</v>
      </c>
      <c r="F5" s="139">
        <f t="shared" ref="F5:F88" si="2">+ROUND(D5+E5,1)</f>
        <v>947.8</v>
      </c>
      <c r="G5" s="138">
        <f t="shared" ref="G5:G88" si="3">+ROUND(G4-E5,1)</f>
        <v>42753.2</v>
      </c>
      <c r="I5" s="140" t="s">
        <v>209</v>
      </c>
      <c r="J5" s="141">
        <v>40268.3</v>
      </c>
    </row>
    <row r="6" ht="14.25" customHeight="1">
      <c r="A6" s="136">
        <v>2.0</v>
      </c>
      <c r="B6" s="137">
        <v>45867.0</v>
      </c>
      <c r="C6" s="144"/>
      <c r="D6" s="138">
        <f t="shared" si="1"/>
        <v>427.5</v>
      </c>
      <c r="E6" s="138">
        <f t="shared" ref="E6:E87" si="4">ROUNDUP($C$4/84,1)</f>
        <v>515.1</v>
      </c>
      <c r="F6" s="139">
        <f t="shared" si="2"/>
        <v>942.6</v>
      </c>
      <c r="G6" s="138">
        <f t="shared" si="3"/>
        <v>42238.1</v>
      </c>
      <c r="I6" s="140" t="s">
        <v>331</v>
      </c>
      <c r="J6" s="141">
        <v>3000.0</v>
      </c>
    </row>
    <row r="7" ht="14.25" customHeight="1">
      <c r="A7" s="136">
        <v>3.0</v>
      </c>
      <c r="B7" s="137">
        <v>45898.0</v>
      </c>
      <c r="C7" s="144"/>
      <c r="D7" s="138">
        <f t="shared" si="1"/>
        <v>422.4</v>
      </c>
      <c r="E7" s="138">
        <f t="shared" si="4"/>
        <v>515.1</v>
      </c>
      <c r="F7" s="139">
        <f t="shared" si="2"/>
        <v>937.5</v>
      </c>
      <c r="G7" s="138">
        <f t="shared" si="3"/>
        <v>41723</v>
      </c>
      <c r="I7" s="142" t="s">
        <v>252</v>
      </c>
      <c r="J7" s="143">
        <f>+SUM(J5:J6)</f>
        <v>43268.3</v>
      </c>
    </row>
    <row r="8" ht="14.25" customHeight="1">
      <c r="A8" s="136">
        <v>4.0</v>
      </c>
      <c r="B8" s="137">
        <v>45929.0</v>
      </c>
      <c r="C8" s="144"/>
      <c r="D8" s="138">
        <f t="shared" si="1"/>
        <v>417.2</v>
      </c>
      <c r="E8" s="138">
        <f t="shared" si="4"/>
        <v>515.1</v>
      </c>
      <c r="F8" s="139">
        <f t="shared" si="2"/>
        <v>932.3</v>
      </c>
      <c r="G8" s="138">
        <f t="shared" si="3"/>
        <v>41207.9</v>
      </c>
    </row>
    <row r="9" ht="14.25" customHeight="1">
      <c r="A9" s="136">
        <v>5.0</v>
      </c>
      <c r="B9" s="137">
        <v>45959.0</v>
      </c>
      <c r="C9" s="145"/>
      <c r="D9" s="138">
        <f t="shared" si="1"/>
        <v>412.1</v>
      </c>
      <c r="E9" s="138">
        <f t="shared" si="4"/>
        <v>515.1</v>
      </c>
      <c r="F9" s="139">
        <f t="shared" si="2"/>
        <v>927.2</v>
      </c>
      <c r="G9" s="138">
        <f t="shared" si="3"/>
        <v>40692.8</v>
      </c>
    </row>
    <row r="10" ht="14.25" customHeight="1">
      <c r="A10" s="136">
        <v>6.0</v>
      </c>
      <c r="B10" s="137">
        <v>45990.0</v>
      </c>
      <c r="C10" s="145"/>
      <c r="D10" s="138">
        <f t="shared" si="1"/>
        <v>406.9</v>
      </c>
      <c r="E10" s="138">
        <f t="shared" si="4"/>
        <v>515.1</v>
      </c>
      <c r="F10" s="139">
        <f t="shared" si="2"/>
        <v>922</v>
      </c>
      <c r="G10" s="138">
        <f t="shared" si="3"/>
        <v>40177.7</v>
      </c>
    </row>
    <row r="11" ht="14.25" customHeight="1">
      <c r="A11" s="136">
        <v>7.0</v>
      </c>
      <c r="B11" s="137">
        <v>46020.0</v>
      </c>
      <c r="C11" s="145"/>
      <c r="D11" s="138">
        <f t="shared" si="1"/>
        <v>401.8</v>
      </c>
      <c r="E11" s="138">
        <f t="shared" si="4"/>
        <v>515.1</v>
      </c>
      <c r="F11" s="139">
        <f t="shared" si="2"/>
        <v>916.9</v>
      </c>
      <c r="G11" s="138">
        <f t="shared" si="3"/>
        <v>39662.6</v>
      </c>
    </row>
    <row r="12" ht="14.25" customHeight="1">
      <c r="A12" s="136">
        <v>8.0</v>
      </c>
      <c r="B12" s="137">
        <v>46051.0</v>
      </c>
      <c r="C12" s="145"/>
      <c r="D12" s="138">
        <f t="shared" si="1"/>
        <v>396.6</v>
      </c>
      <c r="E12" s="138">
        <f t="shared" si="4"/>
        <v>515.1</v>
      </c>
      <c r="F12" s="139">
        <f t="shared" si="2"/>
        <v>911.7</v>
      </c>
      <c r="G12" s="138">
        <f t="shared" si="3"/>
        <v>39147.5</v>
      </c>
    </row>
    <row r="13" ht="14.25" customHeight="1">
      <c r="A13" s="136">
        <v>9.0</v>
      </c>
      <c r="B13" s="137">
        <v>46081.0</v>
      </c>
      <c r="C13" s="145"/>
      <c r="D13" s="138">
        <f t="shared" si="1"/>
        <v>391.5</v>
      </c>
      <c r="E13" s="138">
        <f t="shared" si="4"/>
        <v>515.1</v>
      </c>
      <c r="F13" s="139">
        <f t="shared" si="2"/>
        <v>906.6</v>
      </c>
      <c r="G13" s="138">
        <f t="shared" si="3"/>
        <v>38632.4</v>
      </c>
    </row>
    <row r="14" ht="14.25" customHeight="1">
      <c r="A14" s="131">
        <v>10.0</v>
      </c>
      <c r="B14" s="132">
        <v>46110.0</v>
      </c>
      <c r="C14" s="146"/>
      <c r="D14" s="135">
        <f t="shared" si="1"/>
        <v>386.3</v>
      </c>
      <c r="E14" s="135">
        <f t="shared" si="4"/>
        <v>515.1</v>
      </c>
      <c r="F14" s="133">
        <f t="shared" si="2"/>
        <v>901.4</v>
      </c>
      <c r="G14" s="135">
        <f t="shared" si="3"/>
        <v>38117.3</v>
      </c>
    </row>
    <row r="15" ht="14.25" customHeight="1">
      <c r="A15" s="131">
        <v>11.0</v>
      </c>
      <c r="B15" s="132">
        <v>46141.0</v>
      </c>
      <c r="C15" s="146"/>
      <c r="D15" s="135">
        <f t="shared" si="1"/>
        <v>381.2</v>
      </c>
      <c r="E15" s="135">
        <f t="shared" si="4"/>
        <v>515.1</v>
      </c>
      <c r="F15" s="133">
        <f t="shared" si="2"/>
        <v>896.3</v>
      </c>
      <c r="G15" s="135">
        <f t="shared" si="3"/>
        <v>37602.2</v>
      </c>
    </row>
    <row r="16" ht="14.25" customHeight="1">
      <c r="A16" s="131">
        <v>12.0</v>
      </c>
      <c r="B16" s="132">
        <v>46171.0</v>
      </c>
      <c r="C16" s="146"/>
      <c r="D16" s="135">
        <f t="shared" si="1"/>
        <v>376</v>
      </c>
      <c r="E16" s="135">
        <f t="shared" si="4"/>
        <v>515.1</v>
      </c>
      <c r="F16" s="133">
        <f t="shared" si="2"/>
        <v>891.1</v>
      </c>
      <c r="G16" s="135">
        <f t="shared" si="3"/>
        <v>37087.1</v>
      </c>
    </row>
    <row r="17" ht="14.25" customHeight="1">
      <c r="A17" s="131">
        <v>13.0</v>
      </c>
      <c r="B17" s="132">
        <v>46202.0</v>
      </c>
      <c r="C17" s="146"/>
      <c r="D17" s="135">
        <f t="shared" si="1"/>
        <v>370.9</v>
      </c>
      <c r="E17" s="135">
        <f t="shared" si="4"/>
        <v>515.1</v>
      </c>
      <c r="F17" s="133">
        <f t="shared" si="2"/>
        <v>886</v>
      </c>
      <c r="G17" s="135">
        <f t="shared" si="3"/>
        <v>36572</v>
      </c>
    </row>
    <row r="18" ht="14.25" customHeight="1">
      <c r="A18" s="131">
        <v>14.0</v>
      </c>
      <c r="B18" s="132">
        <v>46232.0</v>
      </c>
      <c r="C18" s="146"/>
      <c r="D18" s="135">
        <f t="shared" si="1"/>
        <v>365.7</v>
      </c>
      <c r="E18" s="135">
        <f t="shared" si="4"/>
        <v>515.1</v>
      </c>
      <c r="F18" s="133">
        <f t="shared" si="2"/>
        <v>880.8</v>
      </c>
      <c r="G18" s="135">
        <f t="shared" si="3"/>
        <v>36056.9</v>
      </c>
    </row>
    <row r="19" ht="14.25" customHeight="1">
      <c r="A19" s="131">
        <v>15.0</v>
      </c>
      <c r="B19" s="132">
        <v>46263.0</v>
      </c>
      <c r="C19" s="146"/>
      <c r="D19" s="135">
        <f t="shared" si="1"/>
        <v>360.6</v>
      </c>
      <c r="E19" s="135">
        <f t="shared" si="4"/>
        <v>515.1</v>
      </c>
      <c r="F19" s="133">
        <f t="shared" si="2"/>
        <v>875.7</v>
      </c>
      <c r="G19" s="135">
        <f t="shared" si="3"/>
        <v>35541.8</v>
      </c>
    </row>
    <row r="20" ht="14.25" customHeight="1">
      <c r="A20" s="131">
        <v>16.0</v>
      </c>
      <c r="B20" s="132">
        <v>46294.0</v>
      </c>
      <c r="C20" s="146"/>
      <c r="D20" s="135">
        <f t="shared" si="1"/>
        <v>355.4</v>
      </c>
      <c r="E20" s="135">
        <f t="shared" si="4"/>
        <v>515.1</v>
      </c>
      <c r="F20" s="133">
        <f t="shared" si="2"/>
        <v>870.5</v>
      </c>
      <c r="G20" s="135">
        <f t="shared" si="3"/>
        <v>35026.7</v>
      </c>
    </row>
    <row r="21" ht="14.25" customHeight="1">
      <c r="A21" s="131">
        <v>17.0</v>
      </c>
      <c r="B21" s="132">
        <v>46324.0</v>
      </c>
      <c r="C21" s="146"/>
      <c r="D21" s="135">
        <f t="shared" si="1"/>
        <v>350.3</v>
      </c>
      <c r="E21" s="135">
        <f t="shared" si="4"/>
        <v>515.1</v>
      </c>
      <c r="F21" s="133">
        <f t="shared" si="2"/>
        <v>865.4</v>
      </c>
      <c r="G21" s="135">
        <f t="shared" si="3"/>
        <v>34511.6</v>
      </c>
    </row>
    <row r="22" ht="14.25" customHeight="1">
      <c r="A22" s="131">
        <v>18.0</v>
      </c>
      <c r="B22" s="132">
        <v>46355.0</v>
      </c>
      <c r="C22" s="146"/>
      <c r="D22" s="135">
        <f t="shared" si="1"/>
        <v>345.1</v>
      </c>
      <c r="E22" s="135">
        <f t="shared" si="4"/>
        <v>515.1</v>
      </c>
      <c r="F22" s="133">
        <f t="shared" si="2"/>
        <v>860.2</v>
      </c>
      <c r="G22" s="135">
        <f t="shared" si="3"/>
        <v>33996.5</v>
      </c>
    </row>
    <row r="23" ht="14.25" customHeight="1">
      <c r="A23" s="131">
        <v>19.0</v>
      </c>
      <c r="B23" s="132">
        <v>46385.0</v>
      </c>
      <c r="C23" s="146"/>
      <c r="D23" s="135">
        <f t="shared" si="1"/>
        <v>340</v>
      </c>
      <c r="E23" s="135">
        <f t="shared" si="4"/>
        <v>515.1</v>
      </c>
      <c r="F23" s="133">
        <f t="shared" si="2"/>
        <v>855.1</v>
      </c>
      <c r="G23" s="135">
        <f t="shared" si="3"/>
        <v>33481.4</v>
      </c>
    </row>
    <row r="24" ht="14.25" customHeight="1">
      <c r="A24" s="131">
        <v>20.0</v>
      </c>
      <c r="B24" s="132">
        <v>46416.0</v>
      </c>
      <c r="C24" s="146"/>
      <c r="D24" s="135">
        <f t="shared" si="1"/>
        <v>334.8</v>
      </c>
      <c r="E24" s="135">
        <f t="shared" si="4"/>
        <v>515.1</v>
      </c>
      <c r="F24" s="133">
        <f t="shared" si="2"/>
        <v>849.9</v>
      </c>
      <c r="G24" s="135">
        <f t="shared" si="3"/>
        <v>32966.3</v>
      </c>
    </row>
    <row r="25" ht="14.25" customHeight="1">
      <c r="A25" s="131">
        <v>21.0</v>
      </c>
      <c r="B25" s="132">
        <v>46446.0</v>
      </c>
      <c r="C25" s="146"/>
      <c r="D25" s="135">
        <f t="shared" si="1"/>
        <v>329.7</v>
      </c>
      <c r="E25" s="135">
        <f t="shared" si="4"/>
        <v>515.1</v>
      </c>
      <c r="F25" s="133">
        <f t="shared" si="2"/>
        <v>844.8</v>
      </c>
      <c r="G25" s="135">
        <f t="shared" si="3"/>
        <v>32451.2</v>
      </c>
    </row>
    <row r="26" ht="14.25" customHeight="1">
      <c r="A26" s="131">
        <v>22.0</v>
      </c>
      <c r="B26" s="132">
        <v>46475.0</v>
      </c>
      <c r="C26" s="146"/>
      <c r="D26" s="135">
        <f t="shared" si="1"/>
        <v>324.5</v>
      </c>
      <c r="E26" s="135">
        <f t="shared" si="4"/>
        <v>515.1</v>
      </c>
      <c r="F26" s="133">
        <f t="shared" si="2"/>
        <v>839.6</v>
      </c>
      <c r="G26" s="135">
        <f t="shared" si="3"/>
        <v>31936.1</v>
      </c>
    </row>
    <row r="27" ht="14.25" customHeight="1">
      <c r="A27" s="131">
        <v>23.0</v>
      </c>
      <c r="B27" s="132">
        <v>46506.0</v>
      </c>
      <c r="C27" s="146"/>
      <c r="D27" s="135">
        <f t="shared" si="1"/>
        <v>319.4</v>
      </c>
      <c r="E27" s="135">
        <f t="shared" si="4"/>
        <v>515.1</v>
      </c>
      <c r="F27" s="133">
        <f t="shared" si="2"/>
        <v>834.5</v>
      </c>
      <c r="G27" s="135">
        <f t="shared" si="3"/>
        <v>31421</v>
      </c>
    </row>
    <row r="28" ht="14.25" customHeight="1">
      <c r="A28" s="131">
        <v>24.0</v>
      </c>
      <c r="B28" s="132">
        <v>46536.0</v>
      </c>
      <c r="C28" s="146"/>
      <c r="D28" s="135">
        <f t="shared" si="1"/>
        <v>314.2</v>
      </c>
      <c r="E28" s="135">
        <f t="shared" si="4"/>
        <v>515.1</v>
      </c>
      <c r="F28" s="133">
        <f t="shared" si="2"/>
        <v>829.3</v>
      </c>
      <c r="G28" s="135">
        <f t="shared" si="3"/>
        <v>30905.9</v>
      </c>
    </row>
    <row r="29" ht="14.25" customHeight="1">
      <c r="A29" s="131">
        <v>25.0</v>
      </c>
      <c r="B29" s="132">
        <v>46567.0</v>
      </c>
      <c r="C29" s="146"/>
      <c r="D29" s="135">
        <f t="shared" si="1"/>
        <v>309.1</v>
      </c>
      <c r="E29" s="135">
        <f t="shared" si="4"/>
        <v>515.1</v>
      </c>
      <c r="F29" s="133">
        <f t="shared" si="2"/>
        <v>824.2</v>
      </c>
      <c r="G29" s="135">
        <f t="shared" si="3"/>
        <v>30390.8</v>
      </c>
    </row>
    <row r="30" ht="14.25" customHeight="1">
      <c r="A30" s="131">
        <v>26.0</v>
      </c>
      <c r="B30" s="132">
        <v>46597.0</v>
      </c>
      <c r="C30" s="146"/>
      <c r="D30" s="135">
        <f t="shared" si="1"/>
        <v>303.9</v>
      </c>
      <c r="E30" s="135">
        <f t="shared" si="4"/>
        <v>515.1</v>
      </c>
      <c r="F30" s="133">
        <f t="shared" si="2"/>
        <v>819</v>
      </c>
      <c r="G30" s="135">
        <f t="shared" si="3"/>
        <v>29875.7</v>
      </c>
    </row>
    <row r="31" ht="14.25" customHeight="1">
      <c r="A31" s="131">
        <v>27.0</v>
      </c>
      <c r="B31" s="132">
        <v>46628.0</v>
      </c>
      <c r="C31" s="146"/>
      <c r="D31" s="135">
        <f t="shared" si="1"/>
        <v>298.8</v>
      </c>
      <c r="E31" s="135">
        <f t="shared" si="4"/>
        <v>515.1</v>
      </c>
      <c r="F31" s="133">
        <f t="shared" si="2"/>
        <v>813.9</v>
      </c>
      <c r="G31" s="135">
        <f t="shared" si="3"/>
        <v>29360.6</v>
      </c>
    </row>
    <row r="32" ht="14.25" customHeight="1">
      <c r="A32" s="131">
        <v>28.0</v>
      </c>
      <c r="B32" s="132">
        <v>46659.0</v>
      </c>
      <c r="C32" s="146"/>
      <c r="D32" s="135">
        <f t="shared" si="1"/>
        <v>293.6</v>
      </c>
      <c r="E32" s="135">
        <f t="shared" si="4"/>
        <v>515.1</v>
      </c>
      <c r="F32" s="133">
        <f t="shared" si="2"/>
        <v>808.7</v>
      </c>
      <c r="G32" s="135">
        <f t="shared" si="3"/>
        <v>28845.5</v>
      </c>
    </row>
    <row r="33" ht="14.25" customHeight="1">
      <c r="A33" s="131">
        <v>29.0</v>
      </c>
      <c r="B33" s="132">
        <v>46689.0</v>
      </c>
      <c r="C33" s="146"/>
      <c r="D33" s="135">
        <f t="shared" si="1"/>
        <v>288.5</v>
      </c>
      <c r="E33" s="135">
        <f t="shared" si="4"/>
        <v>515.1</v>
      </c>
      <c r="F33" s="133">
        <f t="shared" si="2"/>
        <v>803.6</v>
      </c>
      <c r="G33" s="135">
        <f t="shared" si="3"/>
        <v>28330.4</v>
      </c>
    </row>
    <row r="34" ht="14.25" customHeight="1">
      <c r="A34" s="131">
        <v>30.0</v>
      </c>
      <c r="B34" s="132">
        <v>46720.0</v>
      </c>
      <c r="C34" s="146"/>
      <c r="D34" s="135">
        <f t="shared" si="1"/>
        <v>283.3</v>
      </c>
      <c r="E34" s="135">
        <f t="shared" si="4"/>
        <v>515.1</v>
      </c>
      <c r="F34" s="133">
        <f t="shared" si="2"/>
        <v>798.4</v>
      </c>
      <c r="G34" s="135">
        <f t="shared" si="3"/>
        <v>27815.3</v>
      </c>
    </row>
    <row r="35" ht="14.25" customHeight="1">
      <c r="A35" s="131">
        <v>31.0</v>
      </c>
      <c r="B35" s="132">
        <v>46750.0</v>
      </c>
      <c r="C35" s="146"/>
      <c r="D35" s="135">
        <f t="shared" si="1"/>
        <v>278.2</v>
      </c>
      <c r="E35" s="135">
        <f t="shared" si="4"/>
        <v>515.1</v>
      </c>
      <c r="F35" s="133">
        <f t="shared" si="2"/>
        <v>793.3</v>
      </c>
      <c r="G35" s="135">
        <f t="shared" si="3"/>
        <v>27300.2</v>
      </c>
    </row>
    <row r="36" ht="14.25" customHeight="1">
      <c r="A36" s="131">
        <v>32.0</v>
      </c>
      <c r="B36" s="132">
        <v>46781.0</v>
      </c>
      <c r="C36" s="146"/>
      <c r="D36" s="135">
        <f t="shared" si="1"/>
        <v>273</v>
      </c>
      <c r="E36" s="135">
        <f t="shared" si="4"/>
        <v>515.1</v>
      </c>
      <c r="F36" s="133">
        <f t="shared" si="2"/>
        <v>788.1</v>
      </c>
      <c r="G36" s="135">
        <f t="shared" si="3"/>
        <v>26785.1</v>
      </c>
    </row>
    <row r="37" ht="14.25" customHeight="1">
      <c r="A37" s="131">
        <v>33.0</v>
      </c>
      <c r="B37" s="132">
        <v>46812.0</v>
      </c>
      <c r="C37" s="146"/>
      <c r="D37" s="135">
        <f t="shared" si="1"/>
        <v>267.9</v>
      </c>
      <c r="E37" s="135">
        <f t="shared" si="4"/>
        <v>515.1</v>
      </c>
      <c r="F37" s="133">
        <f t="shared" si="2"/>
        <v>783</v>
      </c>
      <c r="G37" s="135">
        <f t="shared" si="3"/>
        <v>26270</v>
      </c>
    </row>
    <row r="38" ht="14.25" customHeight="1">
      <c r="A38" s="131">
        <v>34.0</v>
      </c>
      <c r="B38" s="132">
        <v>46841.0</v>
      </c>
      <c r="C38" s="146"/>
      <c r="D38" s="135">
        <f t="shared" si="1"/>
        <v>262.7</v>
      </c>
      <c r="E38" s="135">
        <f t="shared" si="4"/>
        <v>515.1</v>
      </c>
      <c r="F38" s="133">
        <f t="shared" si="2"/>
        <v>777.8</v>
      </c>
      <c r="G38" s="135">
        <f t="shared" si="3"/>
        <v>25754.9</v>
      </c>
    </row>
    <row r="39" ht="14.25" customHeight="1">
      <c r="A39" s="131">
        <v>35.0</v>
      </c>
      <c r="B39" s="132">
        <v>46872.0</v>
      </c>
      <c r="C39" s="146"/>
      <c r="D39" s="135">
        <f t="shared" si="1"/>
        <v>257.5</v>
      </c>
      <c r="E39" s="135">
        <f t="shared" si="4"/>
        <v>515.1</v>
      </c>
      <c r="F39" s="133">
        <f t="shared" si="2"/>
        <v>772.6</v>
      </c>
      <c r="G39" s="135">
        <f t="shared" si="3"/>
        <v>25239.8</v>
      </c>
    </row>
    <row r="40" ht="14.25" customHeight="1">
      <c r="A40" s="131">
        <v>36.0</v>
      </c>
      <c r="B40" s="132">
        <v>46902.0</v>
      </c>
      <c r="C40" s="146"/>
      <c r="D40" s="135">
        <f t="shared" si="1"/>
        <v>252.4</v>
      </c>
      <c r="E40" s="135">
        <f t="shared" si="4"/>
        <v>515.1</v>
      </c>
      <c r="F40" s="133">
        <f t="shared" si="2"/>
        <v>767.5</v>
      </c>
      <c r="G40" s="135">
        <f t="shared" si="3"/>
        <v>24724.7</v>
      </c>
    </row>
    <row r="41" ht="14.25" customHeight="1">
      <c r="A41" s="131">
        <v>37.0</v>
      </c>
      <c r="B41" s="132">
        <v>46933.0</v>
      </c>
      <c r="C41" s="146"/>
      <c r="D41" s="135">
        <f t="shared" si="1"/>
        <v>247.2</v>
      </c>
      <c r="E41" s="135">
        <f t="shared" si="4"/>
        <v>515.1</v>
      </c>
      <c r="F41" s="133">
        <f t="shared" si="2"/>
        <v>762.3</v>
      </c>
      <c r="G41" s="135">
        <f t="shared" si="3"/>
        <v>24209.6</v>
      </c>
    </row>
    <row r="42" ht="14.25" customHeight="1">
      <c r="A42" s="131">
        <v>38.0</v>
      </c>
      <c r="B42" s="132">
        <v>46963.0</v>
      </c>
      <c r="C42" s="146"/>
      <c r="D42" s="135">
        <f t="shared" si="1"/>
        <v>242.1</v>
      </c>
      <c r="E42" s="135">
        <f t="shared" si="4"/>
        <v>515.1</v>
      </c>
      <c r="F42" s="133">
        <f t="shared" si="2"/>
        <v>757.2</v>
      </c>
      <c r="G42" s="135">
        <f t="shared" si="3"/>
        <v>23694.5</v>
      </c>
    </row>
    <row r="43" ht="14.25" customHeight="1">
      <c r="A43" s="131">
        <v>39.0</v>
      </c>
      <c r="B43" s="132">
        <v>46994.0</v>
      </c>
      <c r="C43" s="146"/>
      <c r="D43" s="135">
        <f t="shared" si="1"/>
        <v>236.9</v>
      </c>
      <c r="E43" s="135">
        <f t="shared" si="4"/>
        <v>515.1</v>
      </c>
      <c r="F43" s="133">
        <f t="shared" si="2"/>
        <v>752</v>
      </c>
      <c r="G43" s="135">
        <f t="shared" si="3"/>
        <v>23179.4</v>
      </c>
    </row>
    <row r="44" ht="14.25" customHeight="1">
      <c r="A44" s="131">
        <v>40.0</v>
      </c>
      <c r="B44" s="132">
        <v>47025.0</v>
      </c>
      <c r="C44" s="146"/>
      <c r="D44" s="135">
        <f t="shared" si="1"/>
        <v>231.8</v>
      </c>
      <c r="E44" s="135">
        <f t="shared" si="4"/>
        <v>515.1</v>
      </c>
      <c r="F44" s="133">
        <f t="shared" si="2"/>
        <v>746.9</v>
      </c>
      <c r="G44" s="135">
        <f t="shared" si="3"/>
        <v>22664.3</v>
      </c>
    </row>
    <row r="45" ht="14.25" customHeight="1">
      <c r="A45" s="131">
        <v>41.0</v>
      </c>
      <c r="B45" s="132">
        <v>47055.0</v>
      </c>
      <c r="C45" s="146"/>
      <c r="D45" s="135">
        <f t="shared" si="1"/>
        <v>226.6</v>
      </c>
      <c r="E45" s="135">
        <f t="shared" si="4"/>
        <v>515.1</v>
      </c>
      <c r="F45" s="133">
        <f t="shared" si="2"/>
        <v>741.7</v>
      </c>
      <c r="G45" s="135">
        <f t="shared" si="3"/>
        <v>22149.2</v>
      </c>
    </row>
    <row r="46" ht="14.25" customHeight="1">
      <c r="A46" s="131">
        <v>42.0</v>
      </c>
      <c r="B46" s="132">
        <v>47086.0</v>
      </c>
      <c r="C46" s="146"/>
      <c r="D46" s="135">
        <f t="shared" si="1"/>
        <v>221.5</v>
      </c>
      <c r="E46" s="135">
        <f t="shared" si="4"/>
        <v>515.1</v>
      </c>
      <c r="F46" s="133">
        <f t="shared" si="2"/>
        <v>736.6</v>
      </c>
      <c r="G46" s="135">
        <f t="shared" si="3"/>
        <v>21634.1</v>
      </c>
    </row>
    <row r="47" ht="14.25" customHeight="1">
      <c r="A47" s="131">
        <v>43.0</v>
      </c>
      <c r="B47" s="132">
        <v>47116.0</v>
      </c>
      <c r="C47" s="146"/>
      <c r="D47" s="135">
        <f t="shared" si="1"/>
        <v>216.3</v>
      </c>
      <c r="E47" s="135">
        <f t="shared" si="4"/>
        <v>515.1</v>
      </c>
      <c r="F47" s="133">
        <f t="shared" si="2"/>
        <v>731.4</v>
      </c>
      <c r="G47" s="135">
        <f t="shared" si="3"/>
        <v>21119</v>
      </c>
    </row>
    <row r="48" ht="14.25" customHeight="1">
      <c r="A48" s="131">
        <v>44.0</v>
      </c>
      <c r="B48" s="132">
        <v>47147.0</v>
      </c>
      <c r="C48" s="146"/>
      <c r="D48" s="135">
        <f t="shared" si="1"/>
        <v>211.2</v>
      </c>
      <c r="E48" s="135">
        <f t="shared" si="4"/>
        <v>515.1</v>
      </c>
      <c r="F48" s="133">
        <f t="shared" si="2"/>
        <v>726.3</v>
      </c>
      <c r="G48" s="135">
        <f t="shared" si="3"/>
        <v>20603.9</v>
      </c>
    </row>
    <row r="49" ht="14.25" customHeight="1">
      <c r="A49" s="131">
        <v>45.0</v>
      </c>
      <c r="B49" s="132">
        <v>47177.0</v>
      </c>
      <c r="C49" s="146"/>
      <c r="D49" s="135">
        <f t="shared" si="1"/>
        <v>206</v>
      </c>
      <c r="E49" s="135">
        <f t="shared" si="4"/>
        <v>515.1</v>
      </c>
      <c r="F49" s="133">
        <f t="shared" si="2"/>
        <v>721.1</v>
      </c>
      <c r="G49" s="135">
        <f t="shared" si="3"/>
        <v>20088.8</v>
      </c>
    </row>
    <row r="50" ht="14.25" customHeight="1">
      <c r="A50" s="131">
        <v>46.0</v>
      </c>
      <c r="B50" s="132">
        <v>47206.0</v>
      </c>
      <c r="C50" s="146"/>
      <c r="D50" s="135">
        <f t="shared" si="1"/>
        <v>200.9</v>
      </c>
      <c r="E50" s="135">
        <f t="shared" si="4"/>
        <v>515.1</v>
      </c>
      <c r="F50" s="133">
        <f t="shared" si="2"/>
        <v>716</v>
      </c>
      <c r="G50" s="135">
        <f t="shared" si="3"/>
        <v>19573.7</v>
      </c>
    </row>
    <row r="51" ht="14.25" customHeight="1">
      <c r="A51" s="131">
        <v>47.0</v>
      </c>
      <c r="B51" s="132">
        <v>47237.0</v>
      </c>
      <c r="C51" s="146"/>
      <c r="D51" s="135">
        <f t="shared" si="1"/>
        <v>195.7</v>
      </c>
      <c r="E51" s="135">
        <f t="shared" si="4"/>
        <v>515.1</v>
      </c>
      <c r="F51" s="133">
        <f t="shared" si="2"/>
        <v>710.8</v>
      </c>
      <c r="G51" s="135">
        <f t="shared" si="3"/>
        <v>19058.6</v>
      </c>
    </row>
    <row r="52" ht="14.25" customHeight="1">
      <c r="A52" s="131">
        <v>48.0</v>
      </c>
      <c r="B52" s="132">
        <v>47267.0</v>
      </c>
      <c r="C52" s="146"/>
      <c r="D52" s="135">
        <f t="shared" si="1"/>
        <v>190.6</v>
      </c>
      <c r="E52" s="135">
        <f t="shared" si="4"/>
        <v>515.1</v>
      </c>
      <c r="F52" s="133">
        <f t="shared" si="2"/>
        <v>705.7</v>
      </c>
      <c r="G52" s="135">
        <f t="shared" si="3"/>
        <v>18543.5</v>
      </c>
    </row>
    <row r="53" ht="14.25" customHeight="1">
      <c r="A53" s="131">
        <v>49.0</v>
      </c>
      <c r="B53" s="132">
        <v>47298.0</v>
      </c>
      <c r="C53" s="146"/>
      <c r="D53" s="135">
        <f t="shared" si="1"/>
        <v>185.4</v>
      </c>
      <c r="E53" s="135">
        <f t="shared" si="4"/>
        <v>515.1</v>
      </c>
      <c r="F53" s="133">
        <f t="shared" si="2"/>
        <v>700.5</v>
      </c>
      <c r="G53" s="135">
        <f t="shared" si="3"/>
        <v>18028.4</v>
      </c>
    </row>
    <row r="54" ht="14.25" customHeight="1">
      <c r="A54" s="131">
        <v>50.0</v>
      </c>
      <c r="B54" s="132">
        <v>47328.0</v>
      </c>
      <c r="C54" s="146"/>
      <c r="D54" s="135">
        <f t="shared" si="1"/>
        <v>180.3</v>
      </c>
      <c r="E54" s="135">
        <f t="shared" si="4"/>
        <v>515.1</v>
      </c>
      <c r="F54" s="133">
        <f t="shared" si="2"/>
        <v>695.4</v>
      </c>
      <c r="G54" s="135">
        <f t="shared" si="3"/>
        <v>17513.3</v>
      </c>
    </row>
    <row r="55" ht="14.25" customHeight="1">
      <c r="A55" s="131">
        <v>51.0</v>
      </c>
      <c r="B55" s="132">
        <v>47359.0</v>
      </c>
      <c r="C55" s="146"/>
      <c r="D55" s="135">
        <f t="shared" si="1"/>
        <v>175.1</v>
      </c>
      <c r="E55" s="135">
        <f t="shared" si="4"/>
        <v>515.1</v>
      </c>
      <c r="F55" s="133">
        <f t="shared" si="2"/>
        <v>690.2</v>
      </c>
      <c r="G55" s="135">
        <f t="shared" si="3"/>
        <v>16998.2</v>
      </c>
    </row>
    <row r="56" ht="14.25" customHeight="1">
      <c r="A56" s="131">
        <v>52.0</v>
      </c>
      <c r="B56" s="132">
        <v>47390.0</v>
      </c>
      <c r="C56" s="146"/>
      <c r="D56" s="135">
        <f t="shared" si="1"/>
        <v>170</v>
      </c>
      <c r="E56" s="135">
        <f t="shared" si="4"/>
        <v>515.1</v>
      </c>
      <c r="F56" s="133">
        <f t="shared" si="2"/>
        <v>685.1</v>
      </c>
      <c r="G56" s="135">
        <f t="shared" si="3"/>
        <v>16483.1</v>
      </c>
    </row>
    <row r="57" ht="14.25" customHeight="1">
      <c r="A57" s="131">
        <v>53.0</v>
      </c>
      <c r="B57" s="132">
        <v>47420.0</v>
      </c>
      <c r="C57" s="146"/>
      <c r="D57" s="135">
        <f t="shared" si="1"/>
        <v>164.8</v>
      </c>
      <c r="E57" s="135">
        <f t="shared" si="4"/>
        <v>515.1</v>
      </c>
      <c r="F57" s="133">
        <f t="shared" si="2"/>
        <v>679.9</v>
      </c>
      <c r="G57" s="135">
        <f t="shared" si="3"/>
        <v>15968</v>
      </c>
    </row>
    <row r="58" ht="14.25" customHeight="1">
      <c r="A58" s="131">
        <v>54.0</v>
      </c>
      <c r="B58" s="132">
        <v>47451.0</v>
      </c>
      <c r="C58" s="146"/>
      <c r="D58" s="135">
        <f t="shared" si="1"/>
        <v>159.7</v>
      </c>
      <c r="E58" s="135">
        <f t="shared" si="4"/>
        <v>515.1</v>
      </c>
      <c r="F58" s="133">
        <f t="shared" si="2"/>
        <v>674.8</v>
      </c>
      <c r="G58" s="135">
        <f t="shared" si="3"/>
        <v>15452.9</v>
      </c>
    </row>
    <row r="59" ht="14.25" customHeight="1">
      <c r="A59" s="131">
        <v>55.0</v>
      </c>
      <c r="B59" s="132">
        <v>47481.0</v>
      </c>
      <c r="C59" s="146"/>
      <c r="D59" s="135">
        <f t="shared" si="1"/>
        <v>154.5</v>
      </c>
      <c r="E59" s="135">
        <f t="shared" si="4"/>
        <v>515.1</v>
      </c>
      <c r="F59" s="133">
        <f t="shared" si="2"/>
        <v>669.6</v>
      </c>
      <c r="G59" s="135">
        <f t="shared" si="3"/>
        <v>14937.8</v>
      </c>
    </row>
    <row r="60" ht="14.25" customHeight="1">
      <c r="A60" s="131">
        <v>56.0</v>
      </c>
      <c r="B60" s="132">
        <v>47512.0</v>
      </c>
      <c r="C60" s="146"/>
      <c r="D60" s="135">
        <f t="shared" si="1"/>
        <v>149.4</v>
      </c>
      <c r="E60" s="135">
        <f t="shared" si="4"/>
        <v>515.1</v>
      </c>
      <c r="F60" s="133">
        <f t="shared" si="2"/>
        <v>664.5</v>
      </c>
      <c r="G60" s="135">
        <f t="shared" si="3"/>
        <v>14422.7</v>
      </c>
    </row>
    <row r="61" ht="14.25" customHeight="1">
      <c r="A61" s="131">
        <v>57.0</v>
      </c>
      <c r="B61" s="132">
        <v>47542.0</v>
      </c>
      <c r="C61" s="146"/>
      <c r="D61" s="135">
        <f t="shared" si="1"/>
        <v>144.2</v>
      </c>
      <c r="E61" s="135">
        <f t="shared" si="4"/>
        <v>515.1</v>
      </c>
      <c r="F61" s="133">
        <f t="shared" si="2"/>
        <v>659.3</v>
      </c>
      <c r="G61" s="135">
        <f t="shared" si="3"/>
        <v>13907.6</v>
      </c>
    </row>
    <row r="62" ht="14.25" customHeight="1">
      <c r="A62" s="131">
        <v>58.0</v>
      </c>
      <c r="B62" s="132">
        <v>47571.0</v>
      </c>
      <c r="C62" s="146"/>
      <c r="D62" s="135">
        <f t="shared" si="1"/>
        <v>139.1</v>
      </c>
      <c r="E62" s="135">
        <f t="shared" si="4"/>
        <v>515.1</v>
      </c>
      <c r="F62" s="133">
        <f t="shared" si="2"/>
        <v>654.2</v>
      </c>
      <c r="G62" s="135">
        <f t="shared" si="3"/>
        <v>13392.5</v>
      </c>
    </row>
    <row r="63" ht="14.25" customHeight="1">
      <c r="A63" s="131">
        <v>59.0</v>
      </c>
      <c r="B63" s="132">
        <v>47602.0</v>
      </c>
      <c r="C63" s="146"/>
      <c r="D63" s="135">
        <f t="shared" si="1"/>
        <v>133.9</v>
      </c>
      <c r="E63" s="135">
        <f t="shared" si="4"/>
        <v>515.1</v>
      </c>
      <c r="F63" s="133">
        <f t="shared" si="2"/>
        <v>649</v>
      </c>
      <c r="G63" s="135">
        <f t="shared" si="3"/>
        <v>12877.4</v>
      </c>
    </row>
    <row r="64" ht="14.25" customHeight="1">
      <c r="A64" s="131">
        <v>60.0</v>
      </c>
      <c r="B64" s="132">
        <v>47632.0</v>
      </c>
      <c r="C64" s="146"/>
      <c r="D64" s="135">
        <f t="shared" si="1"/>
        <v>128.8</v>
      </c>
      <c r="E64" s="135">
        <f t="shared" si="4"/>
        <v>515.1</v>
      </c>
      <c r="F64" s="133">
        <f t="shared" si="2"/>
        <v>643.9</v>
      </c>
      <c r="G64" s="135">
        <f t="shared" si="3"/>
        <v>12362.3</v>
      </c>
    </row>
    <row r="65" ht="14.25" customHeight="1">
      <c r="A65" s="131">
        <v>61.0</v>
      </c>
      <c r="B65" s="132">
        <v>47663.0</v>
      </c>
      <c r="C65" s="146"/>
      <c r="D65" s="135">
        <f t="shared" si="1"/>
        <v>123.6</v>
      </c>
      <c r="E65" s="135">
        <f t="shared" si="4"/>
        <v>515.1</v>
      </c>
      <c r="F65" s="133">
        <f t="shared" si="2"/>
        <v>638.7</v>
      </c>
      <c r="G65" s="135">
        <f t="shared" si="3"/>
        <v>11847.2</v>
      </c>
    </row>
    <row r="66" ht="14.25" customHeight="1">
      <c r="A66" s="131">
        <v>62.0</v>
      </c>
      <c r="B66" s="132">
        <v>47693.0</v>
      </c>
      <c r="C66" s="146"/>
      <c r="D66" s="135">
        <f t="shared" si="1"/>
        <v>118.5</v>
      </c>
      <c r="E66" s="135">
        <f t="shared" si="4"/>
        <v>515.1</v>
      </c>
      <c r="F66" s="133">
        <f t="shared" si="2"/>
        <v>633.6</v>
      </c>
      <c r="G66" s="135">
        <f t="shared" si="3"/>
        <v>11332.1</v>
      </c>
    </row>
    <row r="67" ht="14.25" customHeight="1">
      <c r="A67" s="131">
        <v>63.0</v>
      </c>
      <c r="B67" s="132">
        <v>47724.0</v>
      </c>
      <c r="C67" s="146"/>
      <c r="D67" s="135">
        <f t="shared" si="1"/>
        <v>113.3</v>
      </c>
      <c r="E67" s="135">
        <f t="shared" si="4"/>
        <v>515.1</v>
      </c>
      <c r="F67" s="133">
        <f t="shared" si="2"/>
        <v>628.4</v>
      </c>
      <c r="G67" s="135">
        <f t="shared" si="3"/>
        <v>10817</v>
      </c>
    </row>
    <row r="68" ht="14.25" customHeight="1">
      <c r="A68" s="131">
        <v>64.0</v>
      </c>
      <c r="B68" s="132">
        <v>47755.0</v>
      </c>
      <c r="C68" s="146"/>
      <c r="D68" s="135">
        <f t="shared" si="1"/>
        <v>108.2</v>
      </c>
      <c r="E68" s="135">
        <f t="shared" si="4"/>
        <v>515.1</v>
      </c>
      <c r="F68" s="133">
        <f t="shared" si="2"/>
        <v>623.3</v>
      </c>
      <c r="G68" s="135">
        <f t="shared" si="3"/>
        <v>10301.9</v>
      </c>
    </row>
    <row r="69" ht="14.25" customHeight="1">
      <c r="A69" s="131">
        <v>65.0</v>
      </c>
      <c r="B69" s="132">
        <v>47785.0</v>
      </c>
      <c r="C69" s="146"/>
      <c r="D69" s="135">
        <f t="shared" si="1"/>
        <v>103</v>
      </c>
      <c r="E69" s="135">
        <f t="shared" si="4"/>
        <v>515.1</v>
      </c>
      <c r="F69" s="133">
        <f t="shared" si="2"/>
        <v>618.1</v>
      </c>
      <c r="G69" s="135">
        <f t="shared" si="3"/>
        <v>9786.8</v>
      </c>
    </row>
    <row r="70" ht="14.25" customHeight="1">
      <c r="A70" s="131">
        <v>66.0</v>
      </c>
      <c r="B70" s="132">
        <v>47816.0</v>
      </c>
      <c r="C70" s="146"/>
      <c r="D70" s="135">
        <f t="shared" si="1"/>
        <v>97.9</v>
      </c>
      <c r="E70" s="135">
        <f t="shared" si="4"/>
        <v>515.1</v>
      </c>
      <c r="F70" s="133">
        <f t="shared" si="2"/>
        <v>613</v>
      </c>
      <c r="G70" s="135">
        <f t="shared" si="3"/>
        <v>9271.7</v>
      </c>
    </row>
    <row r="71" ht="14.25" customHeight="1">
      <c r="A71" s="131">
        <v>67.0</v>
      </c>
      <c r="B71" s="132">
        <v>47846.0</v>
      </c>
      <c r="C71" s="146"/>
      <c r="D71" s="135">
        <f t="shared" si="1"/>
        <v>92.7</v>
      </c>
      <c r="E71" s="135">
        <f t="shared" si="4"/>
        <v>515.1</v>
      </c>
      <c r="F71" s="133">
        <f t="shared" si="2"/>
        <v>607.8</v>
      </c>
      <c r="G71" s="135">
        <f t="shared" si="3"/>
        <v>8756.6</v>
      </c>
    </row>
    <row r="72" ht="14.25" customHeight="1">
      <c r="A72" s="131">
        <v>68.0</v>
      </c>
      <c r="B72" s="132">
        <v>47877.0</v>
      </c>
      <c r="C72" s="146"/>
      <c r="D72" s="135">
        <f t="shared" si="1"/>
        <v>87.6</v>
      </c>
      <c r="E72" s="135">
        <f t="shared" si="4"/>
        <v>515.1</v>
      </c>
      <c r="F72" s="133">
        <f t="shared" si="2"/>
        <v>602.7</v>
      </c>
      <c r="G72" s="135">
        <f t="shared" si="3"/>
        <v>8241.5</v>
      </c>
    </row>
    <row r="73" ht="14.25" customHeight="1">
      <c r="A73" s="131">
        <v>69.0</v>
      </c>
      <c r="B73" s="132">
        <v>47907.0</v>
      </c>
      <c r="C73" s="146"/>
      <c r="D73" s="135">
        <f t="shared" si="1"/>
        <v>82.4</v>
      </c>
      <c r="E73" s="135">
        <f t="shared" si="4"/>
        <v>515.1</v>
      </c>
      <c r="F73" s="133">
        <f t="shared" si="2"/>
        <v>597.5</v>
      </c>
      <c r="G73" s="135">
        <f t="shared" si="3"/>
        <v>7726.4</v>
      </c>
    </row>
    <row r="74" ht="14.25" customHeight="1">
      <c r="A74" s="131">
        <v>70.0</v>
      </c>
      <c r="B74" s="132">
        <v>47936.0</v>
      </c>
      <c r="C74" s="146"/>
      <c r="D74" s="135">
        <f t="shared" si="1"/>
        <v>77.3</v>
      </c>
      <c r="E74" s="135">
        <f t="shared" si="4"/>
        <v>515.1</v>
      </c>
      <c r="F74" s="133">
        <f t="shared" si="2"/>
        <v>592.4</v>
      </c>
      <c r="G74" s="135">
        <f t="shared" si="3"/>
        <v>7211.3</v>
      </c>
    </row>
    <row r="75" ht="14.25" customHeight="1">
      <c r="A75" s="131">
        <v>71.0</v>
      </c>
      <c r="B75" s="132">
        <v>47967.0</v>
      </c>
      <c r="C75" s="146"/>
      <c r="D75" s="135">
        <f t="shared" si="1"/>
        <v>72.1</v>
      </c>
      <c r="E75" s="135">
        <f t="shared" si="4"/>
        <v>515.1</v>
      </c>
      <c r="F75" s="133">
        <f t="shared" si="2"/>
        <v>587.2</v>
      </c>
      <c r="G75" s="135">
        <f t="shared" si="3"/>
        <v>6696.2</v>
      </c>
    </row>
    <row r="76" ht="14.25" customHeight="1">
      <c r="A76" s="131">
        <v>72.0</v>
      </c>
      <c r="B76" s="132">
        <v>47997.0</v>
      </c>
      <c r="C76" s="146"/>
      <c r="D76" s="135">
        <f t="shared" si="1"/>
        <v>67</v>
      </c>
      <c r="E76" s="135">
        <f t="shared" si="4"/>
        <v>515.1</v>
      </c>
      <c r="F76" s="133">
        <f t="shared" si="2"/>
        <v>582.1</v>
      </c>
      <c r="G76" s="135">
        <f t="shared" si="3"/>
        <v>6181.1</v>
      </c>
    </row>
    <row r="77" ht="14.25" customHeight="1">
      <c r="A77" s="131">
        <v>73.0</v>
      </c>
      <c r="B77" s="132">
        <v>48028.0</v>
      </c>
      <c r="C77" s="146"/>
      <c r="D77" s="135">
        <f t="shared" si="1"/>
        <v>61.8</v>
      </c>
      <c r="E77" s="135">
        <f t="shared" si="4"/>
        <v>515.1</v>
      </c>
      <c r="F77" s="133">
        <f t="shared" si="2"/>
        <v>576.9</v>
      </c>
      <c r="G77" s="135">
        <f t="shared" si="3"/>
        <v>5666</v>
      </c>
    </row>
    <row r="78" ht="14.25" customHeight="1">
      <c r="A78" s="131">
        <v>74.0</v>
      </c>
      <c r="B78" s="132">
        <v>48058.0</v>
      </c>
      <c r="C78" s="146"/>
      <c r="D78" s="135">
        <f t="shared" si="1"/>
        <v>56.7</v>
      </c>
      <c r="E78" s="135">
        <f t="shared" si="4"/>
        <v>515.1</v>
      </c>
      <c r="F78" s="133">
        <f t="shared" si="2"/>
        <v>571.8</v>
      </c>
      <c r="G78" s="135">
        <f t="shared" si="3"/>
        <v>5150.9</v>
      </c>
    </row>
    <row r="79" ht="14.25" customHeight="1">
      <c r="A79" s="131">
        <v>75.0</v>
      </c>
      <c r="B79" s="132">
        <v>48089.0</v>
      </c>
      <c r="C79" s="146"/>
      <c r="D79" s="135">
        <f t="shared" si="1"/>
        <v>51.5</v>
      </c>
      <c r="E79" s="135">
        <f t="shared" si="4"/>
        <v>515.1</v>
      </c>
      <c r="F79" s="133">
        <f t="shared" si="2"/>
        <v>566.6</v>
      </c>
      <c r="G79" s="135">
        <f t="shared" si="3"/>
        <v>4635.8</v>
      </c>
    </row>
    <row r="80" ht="14.25" customHeight="1">
      <c r="A80" s="131">
        <v>76.0</v>
      </c>
      <c r="B80" s="132">
        <v>48120.0</v>
      </c>
      <c r="C80" s="146"/>
      <c r="D80" s="135">
        <f t="shared" si="1"/>
        <v>46.4</v>
      </c>
      <c r="E80" s="135">
        <f t="shared" si="4"/>
        <v>515.1</v>
      </c>
      <c r="F80" s="133">
        <f t="shared" si="2"/>
        <v>561.5</v>
      </c>
      <c r="G80" s="135">
        <f t="shared" si="3"/>
        <v>4120.7</v>
      </c>
    </row>
    <row r="81" ht="14.25" customHeight="1">
      <c r="A81" s="131">
        <v>77.0</v>
      </c>
      <c r="B81" s="132">
        <v>48150.0</v>
      </c>
      <c r="C81" s="146"/>
      <c r="D81" s="135">
        <f t="shared" si="1"/>
        <v>41.2</v>
      </c>
      <c r="E81" s="135">
        <f t="shared" si="4"/>
        <v>515.1</v>
      </c>
      <c r="F81" s="133">
        <f t="shared" si="2"/>
        <v>556.3</v>
      </c>
      <c r="G81" s="135">
        <f t="shared" si="3"/>
        <v>3605.6</v>
      </c>
    </row>
    <row r="82" ht="14.25" customHeight="1">
      <c r="A82" s="131">
        <v>78.0</v>
      </c>
      <c r="B82" s="132">
        <v>48181.0</v>
      </c>
      <c r="C82" s="146"/>
      <c r="D82" s="135">
        <f t="shared" si="1"/>
        <v>36.1</v>
      </c>
      <c r="E82" s="135">
        <f t="shared" si="4"/>
        <v>515.1</v>
      </c>
      <c r="F82" s="133">
        <f t="shared" si="2"/>
        <v>551.2</v>
      </c>
      <c r="G82" s="135">
        <f t="shared" si="3"/>
        <v>3090.5</v>
      </c>
    </row>
    <row r="83" ht="14.25" customHeight="1">
      <c r="A83" s="131">
        <v>79.0</v>
      </c>
      <c r="B83" s="132">
        <v>48211.0</v>
      </c>
      <c r="C83" s="146"/>
      <c r="D83" s="135">
        <f t="shared" si="1"/>
        <v>30.9</v>
      </c>
      <c r="E83" s="135">
        <f t="shared" si="4"/>
        <v>515.1</v>
      </c>
      <c r="F83" s="133">
        <f t="shared" si="2"/>
        <v>546</v>
      </c>
      <c r="G83" s="135">
        <f t="shared" si="3"/>
        <v>2575.4</v>
      </c>
    </row>
    <row r="84" ht="14.25" customHeight="1">
      <c r="A84" s="131">
        <v>80.0</v>
      </c>
      <c r="B84" s="132">
        <v>48242.0</v>
      </c>
      <c r="C84" s="146"/>
      <c r="D84" s="135">
        <f t="shared" si="1"/>
        <v>25.8</v>
      </c>
      <c r="E84" s="135">
        <f t="shared" si="4"/>
        <v>515.1</v>
      </c>
      <c r="F84" s="133">
        <f t="shared" si="2"/>
        <v>540.9</v>
      </c>
      <c r="G84" s="135">
        <f t="shared" si="3"/>
        <v>2060.3</v>
      </c>
    </row>
    <row r="85" ht="14.25" customHeight="1">
      <c r="A85" s="131">
        <v>81.0</v>
      </c>
      <c r="B85" s="132">
        <v>48273.0</v>
      </c>
      <c r="C85" s="146"/>
      <c r="D85" s="135">
        <f t="shared" si="1"/>
        <v>20.6</v>
      </c>
      <c r="E85" s="135">
        <f t="shared" si="4"/>
        <v>515.1</v>
      </c>
      <c r="F85" s="133">
        <f t="shared" si="2"/>
        <v>535.7</v>
      </c>
      <c r="G85" s="135">
        <f t="shared" si="3"/>
        <v>1545.2</v>
      </c>
    </row>
    <row r="86" ht="14.25" customHeight="1">
      <c r="A86" s="131">
        <v>82.0</v>
      </c>
      <c r="B86" s="132">
        <v>48302.0</v>
      </c>
      <c r="C86" s="146"/>
      <c r="D86" s="135">
        <f t="shared" si="1"/>
        <v>15.5</v>
      </c>
      <c r="E86" s="135">
        <f t="shared" si="4"/>
        <v>515.1</v>
      </c>
      <c r="F86" s="133">
        <f t="shared" si="2"/>
        <v>530.6</v>
      </c>
      <c r="G86" s="135">
        <f t="shared" si="3"/>
        <v>1030.1</v>
      </c>
    </row>
    <row r="87" ht="14.25" customHeight="1">
      <c r="A87" s="131">
        <v>83.0</v>
      </c>
      <c r="B87" s="132">
        <v>48333.0</v>
      </c>
      <c r="C87" s="146"/>
      <c r="D87" s="135">
        <f t="shared" si="1"/>
        <v>10.3</v>
      </c>
      <c r="E87" s="135">
        <f t="shared" si="4"/>
        <v>515.1</v>
      </c>
      <c r="F87" s="133">
        <f t="shared" si="2"/>
        <v>525.4</v>
      </c>
      <c r="G87" s="135">
        <f t="shared" si="3"/>
        <v>515</v>
      </c>
    </row>
    <row r="88" ht="14.25" customHeight="1">
      <c r="A88" s="131">
        <v>84.0</v>
      </c>
      <c r="B88" s="132">
        <v>48363.0</v>
      </c>
      <c r="C88" s="146"/>
      <c r="D88" s="135">
        <f t="shared" si="1"/>
        <v>5.2</v>
      </c>
      <c r="E88" s="135">
        <v>515.0</v>
      </c>
      <c r="F88" s="133">
        <f t="shared" si="2"/>
        <v>520.2</v>
      </c>
      <c r="G88" s="135">
        <f t="shared" si="3"/>
        <v>0</v>
      </c>
    </row>
    <row r="89" ht="14.25" customHeight="1">
      <c r="A89" s="129" t="s">
        <v>252</v>
      </c>
      <c r="B89" s="2"/>
      <c r="C89" s="3"/>
      <c r="D89" s="147">
        <f t="shared" ref="D89:F89" si="5">+SUM(D5:D88)</f>
        <v>18389.3</v>
      </c>
      <c r="E89" s="147">
        <f t="shared" si="5"/>
        <v>43268.3</v>
      </c>
      <c r="F89" s="147">
        <f t="shared" si="5"/>
        <v>61657.6</v>
      </c>
      <c r="G89" s="148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3.5"/>
    <col customWidth="1" min="10" max="10" width="14.63"/>
    <col customWidth="1" min="11" max="26" width="10.63"/>
  </cols>
  <sheetData>
    <row r="1" ht="14.25" customHeight="1">
      <c r="A1" s="128" t="s">
        <v>336</v>
      </c>
      <c r="B1" s="2"/>
      <c r="C1" s="2"/>
      <c r="D1" s="2"/>
      <c r="E1" s="2"/>
      <c r="F1" s="2"/>
      <c r="G1" s="3"/>
    </row>
    <row r="2" ht="14.25" customHeight="1">
      <c r="A2" s="129" t="s">
        <v>337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45045.0</v>
      </c>
      <c r="C4" s="133">
        <f>+J7</f>
        <v>44154.4</v>
      </c>
      <c r="D4" s="134">
        <v>0.01</v>
      </c>
      <c r="E4" s="135"/>
      <c r="F4" s="135"/>
      <c r="G4" s="135">
        <f>+C4</f>
        <v>44154.4</v>
      </c>
    </row>
    <row r="5" ht="14.25" customHeight="1">
      <c r="A5" s="136">
        <v>1.0</v>
      </c>
      <c r="B5" s="137">
        <v>45075.0</v>
      </c>
      <c r="C5" s="138"/>
      <c r="D5" s="138">
        <f t="shared" ref="D5:D76" si="1">+ROUND(G4*0.01,1)</f>
        <v>441.5</v>
      </c>
      <c r="E5" s="138">
        <f>ROUNDUP(C4/72,1)</f>
        <v>613.3</v>
      </c>
      <c r="F5" s="139">
        <f t="shared" ref="F5:F76" si="2">+ROUND(D5+E5,1)</f>
        <v>1054.8</v>
      </c>
      <c r="G5" s="138">
        <f t="shared" ref="G5:G76" si="3">+ROUND(G4-E5,1)</f>
        <v>43541.1</v>
      </c>
      <c r="I5" s="140" t="s">
        <v>209</v>
      </c>
      <c r="J5" s="141">
        <v>44154.4</v>
      </c>
    </row>
    <row r="6" ht="14.25" customHeight="1">
      <c r="A6" s="136">
        <v>2.0</v>
      </c>
      <c r="B6" s="137">
        <v>45106.0</v>
      </c>
      <c r="C6" s="144"/>
      <c r="D6" s="138">
        <f t="shared" si="1"/>
        <v>435.4</v>
      </c>
      <c r="E6" s="138">
        <f t="shared" ref="E6:E44" si="4">ROUNDUP($C$4/72,1)</f>
        <v>613.3</v>
      </c>
      <c r="F6" s="139">
        <f t="shared" si="2"/>
        <v>1048.7</v>
      </c>
      <c r="G6" s="138">
        <f t="shared" si="3"/>
        <v>42927.8</v>
      </c>
      <c r="I6" s="140" t="s">
        <v>331</v>
      </c>
      <c r="J6" s="141">
        <v>0.0</v>
      </c>
    </row>
    <row r="7" ht="14.25" customHeight="1">
      <c r="A7" s="136">
        <v>3.0</v>
      </c>
      <c r="B7" s="137">
        <v>45136.0</v>
      </c>
      <c r="C7" s="144"/>
      <c r="D7" s="138">
        <f t="shared" si="1"/>
        <v>429.3</v>
      </c>
      <c r="E7" s="138">
        <f t="shared" si="4"/>
        <v>613.3</v>
      </c>
      <c r="F7" s="139">
        <f t="shared" si="2"/>
        <v>1042.6</v>
      </c>
      <c r="G7" s="138">
        <f t="shared" si="3"/>
        <v>42314.5</v>
      </c>
      <c r="I7" s="142" t="s">
        <v>252</v>
      </c>
      <c r="J7" s="143">
        <f>+SUM(J5:J6)</f>
        <v>44154.4</v>
      </c>
    </row>
    <row r="8" ht="14.25" customHeight="1">
      <c r="A8" s="136">
        <v>4.0</v>
      </c>
      <c r="B8" s="137">
        <v>45167.0</v>
      </c>
      <c r="C8" s="144"/>
      <c r="D8" s="138">
        <f t="shared" si="1"/>
        <v>423.1</v>
      </c>
      <c r="E8" s="138">
        <f t="shared" si="4"/>
        <v>613.3</v>
      </c>
      <c r="F8" s="139">
        <f t="shared" si="2"/>
        <v>1036.4</v>
      </c>
      <c r="G8" s="138">
        <f t="shared" si="3"/>
        <v>41701.2</v>
      </c>
    </row>
    <row r="9" ht="14.25" customHeight="1">
      <c r="A9" s="136">
        <v>5.0</v>
      </c>
      <c r="B9" s="137">
        <v>45198.0</v>
      </c>
      <c r="C9" s="144"/>
      <c r="D9" s="138">
        <f t="shared" si="1"/>
        <v>417</v>
      </c>
      <c r="E9" s="138">
        <f t="shared" si="4"/>
        <v>613.3</v>
      </c>
      <c r="F9" s="139">
        <f t="shared" si="2"/>
        <v>1030.3</v>
      </c>
      <c r="G9" s="138">
        <f t="shared" si="3"/>
        <v>41087.9</v>
      </c>
    </row>
    <row r="10" ht="14.25" customHeight="1">
      <c r="A10" s="136">
        <v>6.0</v>
      </c>
      <c r="B10" s="137">
        <v>45228.0</v>
      </c>
      <c r="C10" s="144"/>
      <c r="D10" s="138">
        <f t="shared" si="1"/>
        <v>410.9</v>
      </c>
      <c r="E10" s="138">
        <f t="shared" si="4"/>
        <v>613.3</v>
      </c>
      <c r="F10" s="139">
        <f t="shared" si="2"/>
        <v>1024.2</v>
      </c>
      <c r="G10" s="138">
        <f t="shared" si="3"/>
        <v>40474.6</v>
      </c>
    </row>
    <row r="11" ht="14.25" customHeight="1">
      <c r="A11" s="136">
        <v>7.0</v>
      </c>
      <c r="B11" s="137">
        <v>45259.0</v>
      </c>
      <c r="C11" s="144"/>
      <c r="D11" s="138">
        <f t="shared" si="1"/>
        <v>404.7</v>
      </c>
      <c r="E11" s="138">
        <f t="shared" si="4"/>
        <v>613.3</v>
      </c>
      <c r="F11" s="139">
        <f t="shared" si="2"/>
        <v>1018</v>
      </c>
      <c r="G11" s="138">
        <f t="shared" si="3"/>
        <v>39861.3</v>
      </c>
    </row>
    <row r="12" ht="14.25" customHeight="1">
      <c r="A12" s="136">
        <v>8.0</v>
      </c>
      <c r="B12" s="137">
        <v>45289.0</v>
      </c>
      <c r="C12" s="144"/>
      <c r="D12" s="138">
        <f t="shared" si="1"/>
        <v>398.6</v>
      </c>
      <c r="E12" s="138">
        <f t="shared" si="4"/>
        <v>613.3</v>
      </c>
      <c r="F12" s="139">
        <f t="shared" si="2"/>
        <v>1011.9</v>
      </c>
      <c r="G12" s="138">
        <f t="shared" si="3"/>
        <v>39248</v>
      </c>
    </row>
    <row r="13" ht="14.25" customHeight="1">
      <c r="A13" s="136">
        <v>9.0</v>
      </c>
      <c r="B13" s="137">
        <v>45320.0</v>
      </c>
      <c r="C13" s="144"/>
      <c r="D13" s="138">
        <f t="shared" si="1"/>
        <v>392.5</v>
      </c>
      <c r="E13" s="138">
        <f t="shared" si="4"/>
        <v>613.3</v>
      </c>
      <c r="F13" s="139">
        <f t="shared" si="2"/>
        <v>1005.8</v>
      </c>
      <c r="G13" s="138">
        <f t="shared" si="3"/>
        <v>38634.7</v>
      </c>
    </row>
    <row r="14" ht="14.25" customHeight="1">
      <c r="A14" s="136">
        <v>10.0</v>
      </c>
      <c r="B14" s="137">
        <v>45351.0</v>
      </c>
      <c r="C14" s="144"/>
      <c r="D14" s="138">
        <f t="shared" si="1"/>
        <v>386.3</v>
      </c>
      <c r="E14" s="138">
        <f t="shared" si="4"/>
        <v>613.3</v>
      </c>
      <c r="F14" s="139">
        <f t="shared" si="2"/>
        <v>999.6</v>
      </c>
      <c r="G14" s="138">
        <f t="shared" si="3"/>
        <v>38021.4</v>
      </c>
    </row>
    <row r="15" ht="14.25" customHeight="1">
      <c r="A15" s="136">
        <v>11.0</v>
      </c>
      <c r="B15" s="137">
        <v>45380.0</v>
      </c>
      <c r="C15" s="144"/>
      <c r="D15" s="138">
        <f t="shared" si="1"/>
        <v>380.2</v>
      </c>
      <c r="E15" s="138">
        <f t="shared" si="4"/>
        <v>613.3</v>
      </c>
      <c r="F15" s="139">
        <f t="shared" si="2"/>
        <v>993.5</v>
      </c>
      <c r="G15" s="138">
        <f t="shared" si="3"/>
        <v>37408.1</v>
      </c>
    </row>
    <row r="16" ht="14.25" customHeight="1">
      <c r="A16" s="136">
        <v>12.0</v>
      </c>
      <c r="B16" s="137">
        <v>45411.0</v>
      </c>
      <c r="C16" s="144"/>
      <c r="D16" s="138">
        <f t="shared" si="1"/>
        <v>374.1</v>
      </c>
      <c r="E16" s="138">
        <f t="shared" si="4"/>
        <v>613.3</v>
      </c>
      <c r="F16" s="139">
        <f t="shared" si="2"/>
        <v>987.4</v>
      </c>
      <c r="G16" s="138">
        <f t="shared" si="3"/>
        <v>36794.8</v>
      </c>
    </row>
    <row r="17" ht="14.25" customHeight="1">
      <c r="A17" s="136">
        <v>13.0</v>
      </c>
      <c r="B17" s="137">
        <v>45441.0</v>
      </c>
      <c r="C17" s="144"/>
      <c r="D17" s="138">
        <f t="shared" si="1"/>
        <v>367.9</v>
      </c>
      <c r="E17" s="138">
        <f t="shared" si="4"/>
        <v>613.3</v>
      </c>
      <c r="F17" s="139">
        <f t="shared" si="2"/>
        <v>981.2</v>
      </c>
      <c r="G17" s="138">
        <f t="shared" si="3"/>
        <v>36181.5</v>
      </c>
    </row>
    <row r="18" ht="14.25" customHeight="1">
      <c r="A18" s="136">
        <v>14.0</v>
      </c>
      <c r="B18" s="137">
        <v>45472.0</v>
      </c>
      <c r="C18" s="144"/>
      <c r="D18" s="138">
        <f t="shared" si="1"/>
        <v>361.8</v>
      </c>
      <c r="E18" s="138">
        <f t="shared" si="4"/>
        <v>613.3</v>
      </c>
      <c r="F18" s="139">
        <f t="shared" si="2"/>
        <v>975.1</v>
      </c>
      <c r="G18" s="138">
        <f t="shared" si="3"/>
        <v>35568.2</v>
      </c>
    </row>
    <row r="19" ht="14.25" customHeight="1">
      <c r="A19" s="136">
        <v>15.0</v>
      </c>
      <c r="B19" s="137">
        <v>45502.0</v>
      </c>
      <c r="C19" s="144"/>
      <c r="D19" s="138">
        <f t="shared" si="1"/>
        <v>355.7</v>
      </c>
      <c r="E19" s="138">
        <f t="shared" si="4"/>
        <v>613.3</v>
      </c>
      <c r="F19" s="139">
        <f t="shared" si="2"/>
        <v>969</v>
      </c>
      <c r="G19" s="138">
        <f t="shared" si="3"/>
        <v>34954.9</v>
      </c>
    </row>
    <row r="20" ht="14.25" customHeight="1">
      <c r="A20" s="136">
        <v>16.0</v>
      </c>
      <c r="B20" s="137">
        <v>45533.0</v>
      </c>
      <c r="C20" s="144"/>
      <c r="D20" s="138">
        <f t="shared" si="1"/>
        <v>349.5</v>
      </c>
      <c r="E20" s="138">
        <f t="shared" si="4"/>
        <v>613.3</v>
      </c>
      <c r="F20" s="139">
        <f t="shared" si="2"/>
        <v>962.8</v>
      </c>
      <c r="G20" s="138">
        <f t="shared" si="3"/>
        <v>34341.6</v>
      </c>
    </row>
    <row r="21" ht="14.25" customHeight="1">
      <c r="A21" s="136">
        <v>17.0</v>
      </c>
      <c r="B21" s="137">
        <v>45564.0</v>
      </c>
      <c r="C21" s="144"/>
      <c r="D21" s="138">
        <f t="shared" si="1"/>
        <v>343.4</v>
      </c>
      <c r="E21" s="138">
        <f t="shared" si="4"/>
        <v>613.3</v>
      </c>
      <c r="F21" s="139">
        <f t="shared" si="2"/>
        <v>956.7</v>
      </c>
      <c r="G21" s="138">
        <f t="shared" si="3"/>
        <v>33728.3</v>
      </c>
    </row>
    <row r="22" ht="14.25" customHeight="1">
      <c r="A22" s="136">
        <v>18.0</v>
      </c>
      <c r="B22" s="137">
        <v>45594.0</v>
      </c>
      <c r="C22" s="144"/>
      <c r="D22" s="138">
        <f t="shared" si="1"/>
        <v>337.3</v>
      </c>
      <c r="E22" s="138">
        <f t="shared" si="4"/>
        <v>613.3</v>
      </c>
      <c r="F22" s="139">
        <f t="shared" si="2"/>
        <v>950.6</v>
      </c>
      <c r="G22" s="138">
        <f t="shared" si="3"/>
        <v>33115</v>
      </c>
    </row>
    <row r="23" ht="14.25" customHeight="1">
      <c r="A23" s="136">
        <v>19.0</v>
      </c>
      <c r="B23" s="137">
        <v>45625.0</v>
      </c>
      <c r="C23" s="144"/>
      <c r="D23" s="138">
        <f t="shared" si="1"/>
        <v>331.2</v>
      </c>
      <c r="E23" s="138">
        <f t="shared" si="4"/>
        <v>613.3</v>
      </c>
      <c r="F23" s="139">
        <f t="shared" si="2"/>
        <v>944.5</v>
      </c>
      <c r="G23" s="138">
        <f t="shared" si="3"/>
        <v>32501.7</v>
      </c>
    </row>
    <row r="24" ht="14.25" customHeight="1">
      <c r="A24" s="136">
        <v>20.0</v>
      </c>
      <c r="B24" s="137">
        <v>45655.0</v>
      </c>
      <c r="C24" s="144"/>
      <c r="D24" s="138">
        <f t="shared" si="1"/>
        <v>325</v>
      </c>
      <c r="E24" s="138">
        <f t="shared" si="4"/>
        <v>613.3</v>
      </c>
      <c r="F24" s="139">
        <f t="shared" si="2"/>
        <v>938.3</v>
      </c>
      <c r="G24" s="138">
        <f t="shared" si="3"/>
        <v>31888.4</v>
      </c>
    </row>
    <row r="25" ht="14.25" customHeight="1">
      <c r="A25" s="136">
        <v>21.0</v>
      </c>
      <c r="B25" s="137">
        <v>45686.0</v>
      </c>
      <c r="C25" s="144"/>
      <c r="D25" s="138">
        <f t="shared" si="1"/>
        <v>318.9</v>
      </c>
      <c r="E25" s="138">
        <f t="shared" si="4"/>
        <v>613.3</v>
      </c>
      <c r="F25" s="139">
        <f t="shared" si="2"/>
        <v>932.2</v>
      </c>
      <c r="G25" s="138">
        <f t="shared" si="3"/>
        <v>31275.1</v>
      </c>
    </row>
    <row r="26" ht="14.25" customHeight="1">
      <c r="A26" s="136">
        <v>22.0</v>
      </c>
      <c r="B26" s="137">
        <v>45716.0</v>
      </c>
      <c r="C26" s="144"/>
      <c r="D26" s="138">
        <f t="shared" si="1"/>
        <v>312.8</v>
      </c>
      <c r="E26" s="138">
        <f t="shared" si="4"/>
        <v>613.3</v>
      </c>
      <c r="F26" s="139">
        <f t="shared" si="2"/>
        <v>926.1</v>
      </c>
      <c r="G26" s="138">
        <f t="shared" si="3"/>
        <v>30661.8</v>
      </c>
    </row>
    <row r="27" ht="14.25" customHeight="1">
      <c r="A27" s="136">
        <v>23.0</v>
      </c>
      <c r="B27" s="137">
        <v>45745.0</v>
      </c>
      <c r="C27" s="144"/>
      <c r="D27" s="138">
        <f t="shared" si="1"/>
        <v>306.6</v>
      </c>
      <c r="E27" s="138">
        <f t="shared" si="4"/>
        <v>613.3</v>
      </c>
      <c r="F27" s="139">
        <f t="shared" si="2"/>
        <v>919.9</v>
      </c>
      <c r="G27" s="138">
        <f t="shared" si="3"/>
        <v>30048.5</v>
      </c>
    </row>
    <row r="28" ht="14.25" customHeight="1">
      <c r="A28" s="136">
        <v>24.0</v>
      </c>
      <c r="B28" s="137">
        <v>45776.0</v>
      </c>
      <c r="C28" s="144"/>
      <c r="D28" s="138">
        <f t="shared" si="1"/>
        <v>300.5</v>
      </c>
      <c r="E28" s="138">
        <f t="shared" si="4"/>
        <v>613.3</v>
      </c>
      <c r="F28" s="139">
        <f t="shared" si="2"/>
        <v>913.8</v>
      </c>
      <c r="G28" s="138">
        <f t="shared" si="3"/>
        <v>29435.2</v>
      </c>
    </row>
    <row r="29" ht="14.25" customHeight="1">
      <c r="A29" s="136">
        <v>25.0</v>
      </c>
      <c r="B29" s="137">
        <v>45806.0</v>
      </c>
      <c r="C29" s="144"/>
      <c r="D29" s="138">
        <f t="shared" si="1"/>
        <v>294.4</v>
      </c>
      <c r="E29" s="138">
        <f t="shared" si="4"/>
        <v>613.3</v>
      </c>
      <c r="F29" s="139">
        <f t="shared" si="2"/>
        <v>907.7</v>
      </c>
      <c r="G29" s="138">
        <f t="shared" si="3"/>
        <v>28821.9</v>
      </c>
    </row>
    <row r="30" ht="14.25" customHeight="1">
      <c r="A30" s="136">
        <v>26.0</v>
      </c>
      <c r="B30" s="137">
        <v>45837.0</v>
      </c>
      <c r="C30" s="144"/>
      <c r="D30" s="138">
        <f t="shared" si="1"/>
        <v>288.2</v>
      </c>
      <c r="E30" s="138">
        <f t="shared" si="4"/>
        <v>613.3</v>
      </c>
      <c r="F30" s="139">
        <f t="shared" si="2"/>
        <v>901.5</v>
      </c>
      <c r="G30" s="138">
        <f t="shared" si="3"/>
        <v>28208.6</v>
      </c>
    </row>
    <row r="31" ht="14.25" customHeight="1">
      <c r="A31" s="136">
        <v>27.0</v>
      </c>
      <c r="B31" s="137">
        <v>45867.0</v>
      </c>
      <c r="C31" s="144"/>
      <c r="D31" s="138">
        <f t="shared" si="1"/>
        <v>282.1</v>
      </c>
      <c r="E31" s="138">
        <f t="shared" si="4"/>
        <v>613.3</v>
      </c>
      <c r="F31" s="139">
        <f t="shared" si="2"/>
        <v>895.4</v>
      </c>
      <c r="G31" s="138">
        <f t="shared" si="3"/>
        <v>27595.3</v>
      </c>
    </row>
    <row r="32" ht="14.25" customHeight="1">
      <c r="A32" s="136">
        <v>28.0</v>
      </c>
      <c r="B32" s="137">
        <v>45898.0</v>
      </c>
      <c r="C32" s="144"/>
      <c r="D32" s="138">
        <f t="shared" si="1"/>
        <v>276</v>
      </c>
      <c r="E32" s="138">
        <f t="shared" si="4"/>
        <v>613.3</v>
      </c>
      <c r="F32" s="139">
        <f t="shared" si="2"/>
        <v>889.3</v>
      </c>
      <c r="G32" s="138">
        <f t="shared" si="3"/>
        <v>26982</v>
      </c>
    </row>
    <row r="33" ht="14.25" customHeight="1">
      <c r="A33" s="136">
        <v>29.0</v>
      </c>
      <c r="B33" s="137">
        <v>45929.0</v>
      </c>
      <c r="C33" s="144"/>
      <c r="D33" s="138">
        <f t="shared" si="1"/>
        <v>269.8</v>
      </c>
      <c r="E33" s="138">
        <f t="shared" si="4"/>
        <v>613.3</v>
      </c>
      <c r="F33" s="139">
        <f t="shared" si="2"/>
        <v>883.1</v>
      </c>
      <c r="G33" s="138">
        <f t="shared" si="3"/>
        <v>26368.7</v>
      </c>
    </row>
    <row r="34" ht="14.25" customHeight="1">
      <c r="A34" s="136">
        <v>30.0</v>
      </c>
      <c r="B34" s="137">
        <v>45959.0</v>
      </c>
      <c r="C34" s="145"/>
      <c r="D34" s="138">
        <f t="shared" si="1"/>
        <v>263.7</v>
      </c>
      <c r="E34" s="138">
        <f t="shared" si="4"/>
        <v>613.3</v>
      </c>
      <c r="F34" s="139">
        <f t="shared" si="2"/>
        <v>877</v>
      </c>
      <c r="G34" s="138">
        <f t="shared" si="3"/>
        <v>25755.4</v>
      </c>
    </row>
    <row r="35" ht="14.25" customHeight="1">
      <c r="A35" s="136">
        <v>31.0</v>
      </c>
      <c r="B35" s="137">
        <v>45990.0</v>
      </c>
      <c r="C35" s="145"/>
      <c r="D35" s="138">
        <f t="shared" si="1"/>
        <v>257.6</v>
      </c>
      <c r="E35" s="138">
        <f t="shared" si="4"/>
        <v>613.3</v>
      </c>
      <c r="F35" s="139">
        <f t="shared" si="2"/>
        <v>870.9</v>
      </c>
      <c r="G35" s="138">
        <f t="shared" si="3"/>
        <v>25142.1</v>
      </c>
    </row>
    <row r="36" ht="14.25" customHeight="1">
      <c r="A36" s="136">
        <v>32.0</v>
      </c>
      <c r="B36" s="137">
        <v>46020.0</v>
      </c>
      <c r="C36" s="145"/>
      <c r="D36" s="138">
        <f t="shared" si="1"/>
        <v>251.4</v>
      </c>
      <c r="E36" s="138">
        <f t="shared" si="4"/>
        <v>613.3</v>
      </c>
      <c r="F36" s="139">
        <f t="shared" si="2"/>
        <v>864.7</v>
      </c>
      <c r="G36" s="138">
        <f t="shared" si="3"/>
        <v>24528.8</v>
      </c>
    </row>
    <row r="37" ht="14.25" customHeight="1">
      <c r="A37" s="131">
        <v>33.0</v>
      </c>
      <c r="B37" s="132">
        <v>46051.0</v>
      </c>
      <c r="C37" s="146"/>
      <c r="D37" s="135">
        <f t="shared" si="1"/>
        <v>245.3</v>
      </c>
      <c r="E37" s="135">
        <f t="shared" si="4"/>
        <v>613.3</v>
      </c>
      <c r="F37" s="133">
        <f t="shared" si="2"/>
        <v>858.6</v>
      </c>
      <c r="G37" s="135">
        <f t="shared" si="3"/>
        <v>23915.5</v>
      </c>
    </row>
    <row r="38" ht="14.25" customHeight="1">
      <c r="A38" s="131">
        <v>34.0</v>
      </c>
      <c r="B38" s="132">
        <v>46081.0</v>
      </c>
      <c r="C38" s="146"/>
      <c r="D38" s="135">
        <f t="shared" si="1"/>
        <v>239.2</v>
      </c>
      <c r="E38" s="135">
        <f t="shared" si="4"/>
        <v>613.3</v>
      </c>
      <c r="F38" s="133">
        <f t="shared" si="2"/>
        <v>852.5</v>
      </c>
      <c r="G38" s="135">
        <f t="shared" si="3"/>
        <v>23302.2</v>
      </c>
    </row>
    <row r="39" ht="14.25" customHeight="1">
      <c r="A39" s="131">
        <v>35.0</v>
      </c>
      <c r="B39" s="132">
        <v>46110.0</v>
      </c>
      <c r="C39" s="146"/>
      <c r="D39" s="135">
        <f t="shared" si="1"/>
        <v>233</v>
      </c>
      <c r="E39" s="135">
        <f t="shared" si="4"/>
        <v>613.3</v>
      </c>
      <c r="F39" s="133">
        <f t="shared" si="2"/>
        <v>846.3</v>
      </c>
      <c r="G39" s="135">
        <f t="shared" si="3"/>
        <v>22688.9</v>
      </c>
    </row>
    <row r="40" ht="14.25" customHeight="1">
      <c r="A40" s="131">
        <v>36.0</v>
      </c>
      <c r="B40" s="132">
        <v>46141.0</v>
      </c>
      <c r="C40" s="146"/>
      <c r="D40" s="135">
        <f t="shared" si="1"/>
        <v>226.9</v>
      </c>
      <c r="E40" s="135">
        <f t="shared" si="4"/>
        <v>613.3</v>
      </c>
      <c r="F40" s="133">
        <f t="shared" si="2"/>
        <v>840.2</v>
      </c>
      <c r="G40" s="135">
        <f t="shared" si="3"/>
        <v>22075.6</v>
      </c>
    </row>
    <row r="41" ht="14.25" customHeight="1">
      <c r="A41" s="131">
        <v>37.0</v>
      </c>
      <c r="B41" s="132">
        <v>46171.0</v>
      </c>
      <c r="C41" s="146"/>
      <c r="D41" s="135">
        <f t="shared" si="1"/>
        <v>220.8</v>
      </c>
      <c r="E41" s="135">
        <f t="shared" si="4"/>
        <v>613.3</v>
      </c>
      <c r="F41" s="133">
        <f t="shared" si="2"/>
        <v>834.1</v>
      </c>
      <c r="G41" s="135">
        <f t="shared" si="3"/>
        <v>21462.3</v>
      </c>
    </row>
    <row r="42" ht="14.25" customHeight="1">
      <c r="A42" s="131">
        <v>38.0</v>
      </c>
      <c r="B42" s="132">
        <v>46202.0</v>
      </c>
      <c r="C42" s="146"/>
      <c r="D42" s="135">
        <f t="shared" si="1"/>
        <v>214.6</v>
      </c>
      <c r="E42" s="135">
        <f t="shared" si="4"/>
        <v>613.3</v>
      </c>
      <c r="F42" s="133">
        <f t="shared" si="2"/>
        <v>827.9</v>
      </c>
      <c r="G42" s="135">
        <f t="shared" si="3"/>
        <v>20849</v>
      </c>
    </row>
    <row r="43" ht="14.25" customHeight="1">
      <c r="A43" s="131">
        <v>39.0</v>
      </c>
      <c r="B43" s="132">
        <v>46232.0</v>
      </c>
      <c r="C43" s="146"/>
      <c r="D43" s="135">
        <f t="shared" si="1"/>
        <v>208.5</v>
      </c>
      <c r="E43" s="135">
        <f t="shared" si="4"/>
        <v>613.3</v>
      </c>
      <c r="F43" s="133">
        <f t="shared" si="2"/>
        <v>821.8</v>
      </c>
      <c r="G43" s="135">
        <f t="shared" si="3"/>
        <v>20235.7</v>
      </c>
    </row>
    <row r="44" ht="14.25" customHeight="1">
      <c r="A44" s="131">
        <v>40.0</v>
      </c>
      <c r="B44" s="132">
        <v>46263.0</v>
      </c>
      <c r="C44" s="146"/>
      <c r="D44" s="135">
        <f t="shared" si="1"/>
        <v>202.4</v>
      </c>
      <c r="E44" s="135">
        <f t="shared" si="4"/>
        <v>613.3</v>
      </c>
      <c r="F44" s="133">
        <f t="shared" si="2"/>
        <v>815.7</v>
      </c>
      <c r="G44" s="135">
        <f t="shared" si="3"/>
        <v>19622.4</v>
      </c>
    </row>
    <row r="45" ht="14.25" customHeight="1">
      <c r="A45" s="131">
        <v>41.0</v>
      </c>
      <c r="B45" s="132">
        <v>46294.0</v>
      </c>
      <c r="C45" s="146"/>
      <c r="D45" s="135">
        <f t="shared" si="1"/>
        <v>196.2</v>
      </c>
      <c r="E45" s="135">
        <f t="shared" ref="E45:E76" si="5">ROUNDDOWN($C$4/72,1)</f>
        <v>613.2</v>
      </c>
      <c r="F45" s="133">
        <f t="shared" si="2"/>
        <v>809.4</v>
      </c>
      <c r="G45" s="135">
        <f t="shared" si="3"/>
        <v>19009.2</v>
      </c>
    </row>
    <row r="46" ht="14.25" customHeight="1">
      <c r="A46" s="131">
        <v>42.0</v>
      </c>
      <c r="B46" s="132">
        <v>46324.0</v>
      </c>
      <c r="C46" s="146"/>
      <c r="D46" s="135">
        <f t="shared" si="1"/>
        <v>190.1</v>
      </c>
      <c r="E46" s="135">
        <f t="shared" si="5"/>
        <v>613.2</v>
      </c>
      <c r="F46" s="133">
        <f t="shared" si="2"/>
        <v>803.3</v>
      </c>
      <c r="G46" s="135">
        <f t="shared" si="3"/>
        <v>18396</v>
      </c>
    </row>
    <row r="47" ht="14.25" customHeight="1">
      <c r="A47" s="131">
        <v>43.0</v>
      </c>
      <c r="B47" s="132">
        <v>46355.0</v>
      </c>
      <c r="C47" s="146"/>
      <c r="D47" s="135">
        <f t="shared" si="1"/>
        <v>184</v>
      </c>
      <c r="E47" s="135">
        <f t="shared" si="5"/>
        <v>613.2</v>
      </c>
      <c r="F47" s="133">
        <f t="shared" si="2"/>
        <v>797.2</v>
      </c>
      <c r="G47" s="135">
        <f t="shared" si="3"/>
        <v>17782.8</v>
      </c>
    </row>
    <row r="48" ht="14.25" customHeight="1">
      <c r="A48" s="131">
        <v>44.0</v>
      </c>
      <c r="B48" s="132">
        <v>46385.0</v>
      </c>
      <c r="C48" s="146"/>
      <c r="D48" s="135">
        <f t="shared" si="1"/>
        <v>177.8</v>
      </c>
      <c r="E48" s="135">
        <f t="shared" si="5"/>
        <v>613.2</v>
      </c>
      <c r="F48" s="133">
        <f t="shared" si="2"/>
        <v>791</v>
      </c>
      <c r="G48" s="135">
        <f t="shared" si="3"/>
        <v>17169.6</v>
      </c>
    </row>
    <row r="49" ht="14.25" customHeight="1">
      <c r="A49" s="131">
        <v>45.0</v>
      </c>
      <c r="B49" s="132">
        <v>46416.0</v>
      </c>
      <c r="C49" s="146"/>
      <c r="D49" s="135">
        <f t="shared" si="1"/>
        <v>171.7</v>
      </c>
      <c r="E49" s="135">
        <f t="shared" si="5"/>
        <v>613.2</v>
      </c>
      <c r="F49" s="133">
        <f t="shared" si="2"/>
        <v>784.9</v>
      </c>
      <c r="G49" s="135">
        <f t="shared" si="3"/>
        <v>16556.4</v>
      </c>
    </row>
    <row r="50" ht="14.25" customHeight="1">
      <c r="A50" s="131">
        <v>46.0</v>
      </c>
      <c r="B50" s="132">
        <v>46446.0</v>
      </c>
      <c r="C50" s="146"/>
      <c r="D50" s="135">
        <f t="shared" si="1"/>
        <v>165.6</v>
      </c>
      <c r="E50" s="135">
        <f t="shared" si="5"/>
        <v>613.2</v>
      </c>
      <c r="F50" s="133">
        <f t="shared" si="2"/>
        <v>778.8</v>
      </c>
      <c r="G50" s="135">
        <f t="shared" si="3"/>
        <v>15943.2</v>
      </c>
    </row>
    <row r="51" ht="14.25" customHeight="1">
      <c r="A51" s="131">
        <v>47.0</v>
      </c>
      <c r="B51" s="132">
        <v>46475.0</v>
      </c>
      <c r="C51" s="146"/>
      <c r="D51" s="135">
        <f t="shared" si="1"/>
        <v>159.4</v>
      </c>
      <c r="E51" s="135">
        <f t="shared" si="5"/>
        <v>613.2</v>
      </c>
      <c r="F51" s="133">
        <f t="shared" si="2"/>
        <v>772.6</v>
      </c>
      <c r="G51" s="135">
        <f t="shared" si="3"/>
        <v>15330</v>
      </c>
    </row>
    <row r="52" ht="14.25" customHeight="1">
      <c r="A52" s="131">
        <v>48.0</v>
      </c>
      <c r="B52" s="132">
        <v>46506.0</v>
      </c>
      <c r="C52" s="146"/>
      <c r="D52" s="135">
        <f t="shared" si="1"/>
        <v>153.3</v>
      </c>
      <c r="E52" s="135">
        <f t="shared" si="5"/>
        <v>613.2</v>
      </c>
      <c r="F52" s="133">
        <f t="shared" si="2"/>
        <v>766.5</v>
      </c>
      <c r="G52" s="135">
        <f t="shared" si="3"/>
        <v>14716.8</v>
      </c>
    </row>
    <row r="53" ht="14.25" customHeight="1">
      <c r="A53" s="131">
        <v>49.0</v>
      </c>
      <c r="B53" s="132">
        <v>46536.0</v>
      </c>
      <c r="C53" s="146"/>
      <c r="D53" s="135">
        <f t="shared" si="1"/>
        <v>147.2</v>
      </c>
      <c r="E53" s="135">
        <f t="shared" si="5"/>
        <v>613.2</v>
      </c>
      <c r="F53" s="133">
        <f t="shared" si="2"/>
        <v>760.4</v>
      </c>
      <c r="G53" s="135">
        <f t="shared" si="3"/>
        <v>14103.6</v>
      </c>
    </row>
    <row r="54" ht="14.25" customHeight="1">
      <c r="A54" s="131">
        <v>50.0</v>
      </c>
      <c r="B54" s="132">
        <v>46567.0</v>
      </c>
      <c r="C54" s="146"/>
      <c r="D54" s="135">
        <f t="shared" si="1"/>
        <v>141</v>
      </c>
      <c r="E54" s="135">
        <f t="shared" si="5"/>
        <v>613.2</v>
      </c>
      <c r="F54" s="133">
        <f t="shared" si="2"/>
        <v>754.2</v>
      </c>
      <c r="G54" s="135">
        <f t="shared" si="3"/>
        <v>13490.4</v>
      </c>
    </row>
    <row r="55" ht="14.25" customHeight="1">
      <c r="A55" s="131">
        <v>51.0</v>
      </c>
      <c r="B55" s="132">
        <v>46597.0</v>
      </c>
      <c r="C55" s="146"/>
      <c r="D55" s="135">
        <f t="shared" si="1"/>
        <v>134.9</v>
      </c>
      <c r="E55" s="135">
        <f t="shared" si="5"/>
        <v>613.2</v>
      </c>
      <c r="F55" s="133">
        <f t="shared" si="2"/>
        <v>748.1</v>
      </c>
      <c r="G55" s="135">
        <f t="shared" si="3"/>
        <v>12877.2</v>
      </c>
    </row>
    <row r="56" ht="14.25" customHeight="1">
      <c r="A56" s="131">
        <v>52.0</v>
      </c>
      <c r="B56" s="132">
        <v>46628.0</v>
      </c>
      <c r="C56" s="146"/>
      <c r="D56" s="135">
        <f t="shared" si="1"/>
        <v>128.8</v>
      </c>
      <c r="E56" s="135">
        <f t="shared" si="5"/>
        <v>613.2</v>
      </c>
      <c r="F56" s="133">
        <f t="shared" si="2"/>
        <v>742</v>
      </c>
      <c r="G56" s="135">
        <f t="shared" si="3"/>
        <v>12264</v>
      </c>
    </row>
    <row r="57" ht="14.25" customHeight="1">
      <c r="A57" s="131">
        <v>53.0</v>
      </c>
      <c r="B57" s="132">
        <v>46659.0</v>
      </c>
      <c r="C57" s="146"/>
      <c r="D57" s="135">
        <f t="shared" si="1"/>
        <v>122.6</v>
      </c>
      <c r="E57" s="135">
        <f t="shared" si="5"/>
        <v>613.2</v>
      </c>
      <c r="F57" s="133">
        <f t="shared" si="2"/>
        <v>735.8</v>
      </c>
      <c r="G57" s="135">
        <f t="shared" si="3"/>
        <v>11650.8</v>
      </c>
    </row>
    <row r="58" ht="14.25" customHeight="1">
      <c r="A58" s="131">
        <v>54.0</v>
      </c>
      <c r="B58" s="132">
        <v>46689.0</v>
      </c>
      <c r="C58" s="146"/>
      <c r="D58" s="135">
        <f t="shared" si="1"/>
        <v>116.5</v>
      </c>
      <c r="E58" s="135">
        <f t="shared" si="5"/>
        <v>613.2</v>
      </c>
      <c r="F58" s="133">
        <f t="shared" si="2"/>
        <v>729.7</v>
      </c>
      <c r="G58" s="135">
        <f t="shared" si="3"/>
        <v>11037.6</v>
      </c>
    </row>
    <row r="59" ht="14.25" customHeight="1">
      <c r="A59" s="131">
        <v>55.0</v>
      </c>
      <c r="B59" s="132">
        <v>46720.0</v>
      </c>
      <c r="C59" s="146"/>
      <c r="D59" s="135">
        <f t="shared" si="1"/>
        <v>110.4</v>
      </c>
      <c r="E59" s="135">
        <f t="shared" si="5"/>
        <v>613.2</v>
      </c>
      <c r="F59" s="133">
        <f t="shared" si="2"/>
        <v>723.6</v>
      </c>
      <c r="G59" s="135">
        <f t="shared" si="3"/>
        <v>10424.4</v>
      </c>
    </row>
    <row r="60" ht="14.25" customHeight="1">
      <c r="A60" s="131">
        <v>56.0</v>
      </c>
      <c r="B60" s="132">
        <v>46750.0</v>
      </c>
      <c r="C60" s="146"/>
      <c r="D60" s="135">
        <f t="shared" si="1"/>
        <v>104.2</v>
      </c>
      <c r="E60" s="135">
        <f t="shared" si="5"/>
        <v>613.2</v>
      </c>
      <c r="F60" s="133">
        <f t="shared" si="2"/>
        <v>717.4</v>
      </c>
      <c r="G60" s="135">
        <f t="shared" si="3"/>
        <v>9811.2</v>
      </c>
    </row>
    <row r="61" ht="14.25" customHeight="1">
      <c r="A61" s="131">
        <v>57.0</v>
      </c>
      <c r="B61" s="132">
        <v>46781.0</v>
      </c>
      <c r="C61" s="146"/>
      <c r="D61" s="135">
        <f t="shared" si="1"/>
        <v>98.1</v>
      </c>
      <c r="E61" s="135">
        <f t="shared" si="5"/>
        <v>613.2</v>
      </c>
      <c r="F61" s="133">
        <f t="shared" si="2"/>
        <v>711.3</v>
      </c>
      <c r="G61" s="135">
        <f t="shared" si="3"/>
        <v>9198</v>
      </c>
    </row>
    <row r="62" ht="14.25" customHeight="1">
      <c r="A62" s="131">
        <v>58.0</v>
      </c>
      <c r="B62" s="132">
        <v>46812.0</v>
      </c>
      <c r="C62" s="146"/>
      <c r="D62" s="135">
        <f t="shared" si="1"/>
        <v>92</v>
      </c>
      <c r="E62" s="135">
        <f t="shared" si="5"/>
        <v>613.2</v>
      </c>
      <c r="F62" s="133">
        <f t="shared" si="2"/>
        <v>705.2</v>
      </c>
      <c r="G62" s="135">
        <f t="shared" si="3"/>
        <v>8584.8</v>
      </c>
    </row>
    <row r="63" ht="14.25" customHeight="1">
      <c r="A63" s="131">
        <v>59.0</v>
      </c>
      <c r="B63" s="132">
        <v>46841.0</v>
      </c>
      <c r="C63" s="146"/>
      <c r="D63" s="135">
        <f t="shared" si="1"/>
        <v>85.8</v>
      </c>
      <c r="E63" s="135">
        <f t="shared" si="5"/>
        <v>613.2</v>
      </c>
      <c r="F63" s="133">
        <f t="shared" si="2"/>
        <v>699</v>
      </c>
      <c r="G63" s="135">
        <f t="shared" si="3"/>
        <v>7971.6</v>
      </c>
    </row>
    <row r="64" ht="14.25" customHeight="1">
      <c r="A64" s="131">
        <v>60.0</v>
      </c>
      <c r="B64" s="132">
        <v>46872.0</v>
      </c>
      <c r="C64" s="146"/>
      <c r="D64" s="135">
        <f t="shared" si="1"/>
        <v>79.7</v>
      </c>
      <c r="E64" s="135">
        <f t="shared" si="5"/>
        <v>613.2</v>
      </c>
      <c r="F64" s="133">
        <f t="shared" si="2"/>
        <v>692.9</v>
      </c>
      <c r="G64" s="135">
        <f t="shared" si="3"/>
        <v>7358.4</v>
      </c>
    </row>
    <row r="65" ht="14.25" customHeight="1">
      <c r="A65" s="131">
        <v>61.0</v>
      </c>
      <c r="B65" s="132">
        <v>46902.0</v>
      </c>
      <c r="C65" s="146"/>
      <c r="D65" s="135">
        <f t="shared" si="1"/>
        <v>73.6</v>
      </c>
      <c r="E65" s="135">
        <f t="shared" si="5"/>
        <v>613.2</v>
      </c>
      <c r="F65" s="133">
        <f t="shared" si="2"/>
        <v>686.8</v>
      </c>
      <c r="G65" s="135">
        <f t="shared" si="3"/>
        <v>6745.2</v>
      </c>
    </row>
    <row r="66" ht="14.25" customHeight="1">
      <c r="A66" s="131">
        <v>62.0</v>
      </c>
      <c r="B66" s="132">
        <v>46933.0</v>
      </c>
      <c r="C66" s="146"/>
      <c r="D66" s="135">
        <f t="shared" si="1"/>
        <v>67.5</v>
      </c>
      <c r="E66" s="135">
        <f t="shared" si="5"/>
        <v>613.2</v>
      </c>
      <c r="F66" s="133">
        <f t="shared" si="2"/>
        <v>680.7</v>
      </c>
      <c r="G66" s="135">
        <f t="shared" si="3"/>
        <v>6132</v>
      </c>
    </row>
    <row r="67" ht="14.25" customHeight="1">
      <c r="A67" s="131">
        <v>63.0</v>
      </c>
      <c r="B67" s="132">
        <v>46963.0</v>
      </c>
      <c r="C67" s="146"/>
      <c r="D67" s="135">
        <f t="shared" si="1"/>
        <v>61.3</v>
      </c>
      <c r="E67" s="135">
        <f t="shared" si="5"/>
        <v>613.2</v>
      </c>
      <c r="F67" s="133">
        <f t="shared" si="2"/>
        <v>674.5</v>
      </c>
      <c r="G67" s="135">
        <f t="shared" si="3"/>
        <v>5518.8</v>
      </c>
    </row>
    <row r="68" ht="14.25" customHeight="1">
      <c r="A68" s="131">
        <v>64.0</v>
      </c>
      <c r="B68" s="132">
        <v>46994.0</v>
      </c>
      <c r="C68" s="146"/>
      <c r="D68" s="135">
        <f t="shared" si="1"/>
        <v>55.2</v>
      </c>
      <c r="E68" s="135">
        <f t="shared" si="5"/>
        <v>613.2</v>
      </c>
      <c r="F68" s="133">
        <f t="shared" si="2"/>
        <v>668.4</v>
      </c>
      <c r="G68" s="135">
        <f t="shared" si="3"/>
        <v>4905.6</v>
      </c>
    </row>
    <row r="69" ht="14.25" customHeight="1">
      <c r="A69" s="131">
        <v>65.0</v>
      </c>
      <c r="B69" s="132">
        <v>47025.0</v>
      </c>
      <c r="C69" s="146"/>
      <c r="D69" s="135">
        <f t="shared" si="1"/>
        <v>49.1</v>
      </c>
      <c r="E69" s="135">
        <f t="shared" si="5"/>
        <v>613.2</v>
      </c>
      <c r="F69" s="133">
        <f t="shared" si="2"/>
        <v>662.3</v>
      </c>
      <c r="G69" s="135">
        <f t="shared" si="3"/>
        <v>4292.4</v>
      </c>
    </row>
    <row r="70" ht="14.25" customHeight="1">
      <c r="A70" s="131">
        <v>66.0</v>
      </c>
      <c r="B70" s="132">
        <v>47055.0</v>
      </c>
      <c r="C70" s="146"/>
      <c r="D70" s="135">
        <f t="shared" si="1"/>
        <v>42.9</v>
      </c>
      <c r="E70" s="135">
        <f t="shared" si="5"/>
        <v>613.2</v>
      </c>
      <c r="F70" s="133">
        <f t="shared" si="2"/>
        <v>656.1</v>
      </c>
      <c r="G70" s="135">
        <f t="shared" si="3"/>
        <v>3679.2</v>
      </c>
    </row>
    <row r="71" ht="14.25" customHeight="1">
      <c r="A71" s="131">
        <v>67.0</v>
      </c>
      <c r="B71" s="132">
        <v>47086.0</v>
      </c>
      <c r="C71" s="146"/>
      <c r="D71" s="135">
        <f t="shared" si="1"/>
        <v>36.8</v>
      </c>
      <c r="E71" s="135">
        <f t="shared" si="5"/>
        <v>613.2</v>
      </c>
      <c r="F71" s="133">
        <f t="shared" si="2"/>
        <v>650</v>
      </c>
      <c r="G71" s="135">
        <f t="shared" si="3"/>
        <v>3066</v>
      </c>
    </row>
    <row r="72" ht="14.25" customHeight="1">
      <c r="A72" s="131">
        <v>68.0</v>
      </c>
      <c r="B72" s="132">
        <v>47116.0</v>
      </c>
      <c r="C72" s="146"/>
      <c r="D72" s="135">
        <f t="shared" si="1"/>
        <v>30.7</v>
      </c>
      <c r="E72" s="135">
        <f t="shared" si="5"/>
        <v>613.2</v>
      </c>
      <c r="F72" s="133">
        <f t="shared" si="2"/>
        <v>643.9</v>
      </c>
      <c r="G72" s="135">
        <f t="shared" si="3"/>
        <v>2452.8</v>
      </c>
    </row>
    <row r="73" ht="14.25" customHeight="1">
      <c r="A73" s="131">
        <v>69.0</v>
      </c>
      <c r="B73" s="132">
        <v>47147.0</v>
      </c>
      <c r="C73" s="146"/>
      <c r="D73" s="135">
        <f t="shared" si="1"/>
        <v>24.5</v>
      </c>
      <c r="E73" s="135">
        <f t="shared" si="5"/>
        <v>613.2</v>
      </c>
      <c r="F73" s="133">
        <f t="shared" si="2"/>
        <v>637.7</v>
      </c>
      <c r="G73" s="135">
        <f t="shared" si="3"/>
        <v>1839.6</v>
      </c>
    </row>
    <row r="74" ht="14.25" customHeight="1">
      <c r="A74" s="131">
        <v>70.0</v>
      </c>
      <c r="B74" s="132">
        <v>47177.0</v>
      </c>
      <c r="C74" s="146"/>
      <c r="D74" s="135">
        <f t="shared" si="1"/>
        <v>18.4</v>
      </c>
      <c r="E74" s="135">
        <f t="shared" si="5"/>
        <v>613.2</v>
      </c>
      <c r="F74" s="133">
        <f t="shared" si="2"/>
        <v>631.6</v>
      </c>
      <c r="G74" s="135">
        <f t="shared" si="3"/>
        <v>1226.4</v>
      </c>
    </row>
    <row r="75" ht="14.25" customHeight="1">
      <c r="A75" s="131">
        <v>71.0</v>
      </c>
      <c r="B75" s="132">
        <v>47206.0</v>
      </c>
      <c r="C75" s="146"/>
      <c r="D75" s="135">
        <f t="shared" si="1"/>
        <v>12.3</v>
      </c>
      <c r="E75" s="135">
        <f t="shared" si="5"/>
        <v>613.2</v>
      </c>
      <c r="F75" s="133">
        <f t="shared" si="2"/>
        <v>625.5</v>
      </c>
      <c r="G75" s="135">
        <f t="shared" si="3"/>
        <v>613.2</v>
      </c>
    </row>
    <row r="76" ht="14.25" customHeight="1">
      <c r="A76" s="131">
        <v>72.0</v>
      </c>
      <c r="B76" s="132">
        <v>47237.0</v>
      </c>
      <c r="C76" s="146"/>
      <c r="D76" s="135">
        <f t="shared" si="1"/>
        <v>6.1</v>
      </c>
      <c r="E76" s="135">
        <f t="shared" si="5"/>
        <v>613.2</v>
      </c>
      <c r="F76" s="133">
        <f t="shared" si="2"/>
        <v>619.3</v>
      </c>
      <c r="G76" s="135">
        <f t="shared" si="3"/>
        <v>0</v>
      </c>
    </row>
    <row r="77" ht="14.25" customHeight="1">
      <c r="A77" s="129" t="s">
        <v>252</v>
      </c>
      <c r="B77" s="2"/>
      <c r="C77" s="3"/>
      <c r="D77" s="147">
        <f t="shared" ref="D77:F77" si="6">+SUM(D5:D76)</f>
        <v>16115.8</v>
      </c>
      <c r="E77" s="147">
        <f t="shared" si="6"/>
        <v>44154.4</v>
      </c>
      <c r="F77" s="147">
        <f t="shared" si="6"/>
        <v>60270.2</v>
      </c>
      <c r="G77" s="148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77:C7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3.5"/>
    <col customWidth="1" min="10" max="10" width="14.63"/>
    <col customWidth="1" min="11" max="26" width="10.63"/>
  </cols>
  <sheetData>
    <row r="1" ht="14.25" customHeight="1">
      <c r="A1" s="128" t="s">
        <v>338</v>
      </c>
      <c r="B1" s="2"/>
      <c r="C1" s="2"/>
      <c r="D1" s="2"/>
      <c r="E1" s="2"/>
      <c r="F1" s="2"/>
      <c r="G1" s="3"/>
    </row>
    <row r="2" ht="14.25" customHeight="1">
      <c r="A2" s="129" t="s">
        <v>339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45898.0</v>
      </c>
      <c r="C4" s="133">
        <f>+J7</f>
        <v>31193.2</v>
      </c>
      <c r="D4" s="134">
        <v>0.01</v>
      </c>
      <c r="E4" s="135"/>
      <c r="F4" s="135"/>
      <c r="G4" s="135">
        <f>+C4</f>
        <v>31193.2</v>
      </c>
    </row>
    <row r="5" ht="14.25" customHeight="1">
      <c r="A5" s="136">
        <v>1.0</v>
      </c>
      <c r="B5" s="137">
        <v>45929.0</v>
      </c>
      <c r="C5" s="144"/>
      <c r="D5" s="138">
        <f t="shared" ref="D5:D64" si="1">+ROUND(G4*0.01,1)</f>
        <v>311.9</v>
      </c>
      <c r="E5" s="138">
        <f t="shared" ref="E5:E63" si="2">ROUNDUP($C$4/60,1)</f>
        <v>519.9</v>
      </c>
      <c r="F5" s="139">
        <f t="shared" ref="F5:F64" si="3">+ROUND(D5+E5,1)</f>
        <v>831.8</v>
      </c>
      <c r="G5" s="138">
        <f t="shared" ref="G5:G64" si="4">+ROUND(G4-E5,1)</f>
        <v>30673.3</v>
      </c>
      <c r="I5" s="140" t="s">
        <v>209</v>
      </c>
      <c r="J5" s="141">
        <v>11193.2</v>
      </c>
    </row>
    <row r="6" ht="14.25" customHeight="1">
      <c r="A6" s="136">
        <v>2.0</v>
      </c>
      <c r="B6" s="137">
        <v>45959.0</v>
      </c>
      <c r="C6" s="145"/>
      <c r="D6" s="138">
        <f t="shared" si="1"/>
        <v>306.7</v>
      </c>
      <c r="E6" s="138">
        <f t="shared" si="2"/>
        <v>519.9</v>
      </c>
      <c r="F6" s="139">
        <f t="shared" si="3"/>
        <v>826.6</v>
      </c>
      <c r="G6" s="138">
        <f t="shared" si="4"/>
        <v>30153.4</v>
      </c>
      <c r="I6" s="140" t="s">
        <v>331</v>
      </c>
      <c r="J6" s="141">
        <v>20000.0</v>
      </c>
    </row>
    <row r="7" ht="14.25" customHeight="1">
      <c r="A7" s="136">
        <v>3.0</v>
      </c>
      <c r="B7" s="137">
        <v>45990.0</v>
      </c>
      <c r="C7" s="145"/>
      <c r="D7" s="138">
        <f t="shared" si="1"/>
        <v>301.5</v>
      </c>
      <c r="E7" s="138">
        <f t="shared" si="2"/>
        <v>519.9</v>
      </c>
      <c r="F7" s="139">
        <f t="shared" si="3"/>
        <v>821.4</v>
      </c>
      <c r="G7" s="138">
        <f t="shared" si="4"/>
        <v>29633.5</v>
      </c>
      <c r="I7" s="142" t="s">
        <v>252</v>
      </c>
      <c r="J7" s="143">
        <f>+SUM(J5:J6)</f>
        <v>31193.2</v>
      </c>
    </row>
    <row r="8" ht="14.25" customHeight="1">
      <c r="A8" s="136">
        <v>4.0</v>
      </c>
      <c r="B8" s="137">
        <v>46020.0</v>
      </c>
      <c r="C8" s="145"/>
      <c r="D8" s="138">
        <f t="shared" si="1"/>
        <v>296.3</v>
      </c>
      <c r="E8" s="138">
        <f t="shared" si="2"/>
        <v>519.9</v>
      </c>
      <c r="F8" s="139">
        <f t="shared" si="3"/>
        <v>816.2</v>
      </c>
      <c r="G8" s="138">
        <f t="shared" si="4"/>
        <v>29113.6</v>
      </c>
    </row>
    <row r="9" ht="14.25" customHeight="1">
      <c r="A9" s="131">
        <v>5.0</v>
      </c>
      <c r="B9" s="132">
        <v>46051.0</v>
      </c>
      <c r="C9" s="146"/>
      <c r="D9" s="135">
        <f t="shared" si="1"/>
        <v>291.1</v>
      </c>
      <c r="E9" s="135">
        <f t="shared" si="2"/>
        <v>519.9</v>
      </c>
      <c r="F9" s="133">
        <f t="shared" si="3"/>
        <v>811</v>
      </c>
      <c r="G9" s="135">
        <f t="shared" si="4"/>
        <v>28593.7</v>
      </c>
    </row>
    <row r="10" ht="14.25" customHeight="1">
      <c r="A10" s="131">
        <v>6.0</v>
      </c>
      <c r="B10" s="132">
        <v>46081.0</v>
      </c>
      <c r="C10" s="146"/>
      <c r="D10" s="135">
        <f t="shared" si="1"/>
        <v>285.9</v>
      </c>
      <c r="E10" s="135">
        <f t="shared" si="2"/>
        <v>519.9</v>
      </c>
      <c r="F10" s="133">
        <f t="shared" si="3"/>
        <v>805.8</v>
      </c>
      <c r="G10" s="135">
        <f t="shared" si="4"/>
        <v>28073.8</v>
      </c>
    </row>
    <row r="11" ht="14.25" customHeight="1">
      <c r="A11" s="131">
        <v>7.0</v>
      </c>
      <c r="B11" s="132">
        <v>46110.0</v>
      </c>
      <c r="C11" s="146"/>
      <c r="D11" s="135">
        <f t="shared" si="1"/>
        <v>280.7</v>
      </c>
      <c r="E11" s="135">
        <f t="shared" si="2"/>
        <v>519.9</v>
      </c>
      <c r="F11" s="133">
        <f t="shared" si="3"/>
        <v>800.6</v>
      </c>
      <c r="G11" s="135">
        <f t="shared" si="4"/>
        <v>27553.9</v>
      </c>
    </row>
    <row r="12" ht="14.25" customHeight="1">
      <c r="A12" s="131">
        <v>8.0</v>
      </c>
      <c r="B12" s="132">
        <v>46141.0</v>
      </c>
      <c r="C12" s="146"/>
      <c r="D12" s="135">
        <f t="shared" si="1"/>
        <v>275.5</v>
      </c>
      <c r="E12" s="135">
        <f t="shared" si="2"/>
        <v>519.9</v>
      </c>
      <c r="F12" s="133">
        <f t="shared" si="3"/>
        <v>795.4</v>
      </c>
      <c r="G12" s="135">
        <f t="shared" si="4"/>
        <v>27034</v>
      </c>
    </row>
    <row r="13" ht="14.25" customHeight="1">
      <c r="A13" s="131">
        <v>9.0</v>
      </c>
      <c r="B13" s="132">
        <v>46171.0</v>
      </c>
      <c r="C13" s="146"/>
      <c r="D13" s="135">
        <f t="shared" si="1"/>
        <v>270.3</v>
      </c>
      <c r="E13" s="135">
        <f t="shared" si="2"/>
        <v>519.9</v>
      </c>
      <c r="F13" s="133">
        <f t="shared" si="3"/>
        <v>790.2</v>
      </c>
      <c r="G13" s="135">
        <f t="shared" si="4"/>
        <v>26514.1</v>
      </c>
    </row>
    <row r="14" ht="14.25" customHeight="1">
      <c r="A14" s="131">
        <v>10.0</v>
      </c>
      <c r="B14" s="132">
        <v>46202.0</v>
      </c>
      <c r="C14" s="146"/>
      <c r="D14" s="135">
        <f t="shared" si="1"/>
        <v>265.1</v>
      </c>
      <c r="E14" s="135">
        <f t="shared" si="2"/>
        <v>519.9</v>
      </c>
      <c r="F14" s="133">
        <f t="shared" si="3"/>
        <v>785</v>
      </c>
      <c r="G14" s="135">
        <f t="shared" si="4"/>
        <v>25994.2</v>
      </c>
    </row>
    <row r="15" ht="14.25" customHeight="1">
      <c r="A15" s="131">
        <v>11.0</v>
      </c>
      <c r="B15" s="132">
        <v>46232.0</v>
      </c>
      <c r="C15" s="146"/>
      <c r="D15" s="135">
        <f t="shared" si="1"/>
        <v>259.9</v>
      </c>
      <c r="E15" s="135">
        <f t="shared" si="2"/>
        <v>519.9</v>
      </c>
      <c r="F15" s="133">
        <f t="shared" si="3"/>
        <v>779.8</v>
      </c>
      <c r="G15" s="135">
        <f t="shared" si="4"/>
        <v>25474.3</v>
      </c>
    </row>
    <row r="16" ht="14.25" customHeight="1">
      <c r="A16" s="131">
        <v>12.0</v>
      </c>
      <c r="B16" s="132">
        <v>46263.0</v>
      </c>
      <c r="C16" s="146"/>
      <c r="D16" s="135">
        <f t="shared" si="1"/>
        <v>254.7</v>
      </c>
      <c r="E16" s="135">
        <f t="shared" si="2"/>
        <v>519.9</v>
      </c>
      <c r="F16" s="133">
        <f t="shared" si="3"/>
        <v>774.6</v>
      </c>
      <c r="G16" s="135">
        <f t="shared" si="4"/>
        <v>24954.4</v>
      </c>
    </row>
    <row r="17" ht="14.25" customHeight="1">
      <c r="A17" s="131">
        <v>13.0</v>
      </c>
      <c r="B17" s="132">
        <v>46294.0</v>
      </c>
      <c r="C17" s="146"/>
      <c r="D17" s="135">
        <f t="shared" si="1"/>
        <v>249.5</v>
      </c>
      <c r="E17" s="135">
        <f t="shared" si="2"/>
        <v>519.9</v>
      </c>
      <c r="F17" s="133">
        <f t="shared" si="3"/>
        <v>769.4</v>
      </c>
      <c r="G17" s="135">
        <f t="shared" si="4"/>
        <v>24434.5</v>
      </c>
    </row>
    <row r="18" ht="14.25" customHeight="1">
      <c r="A18" s="131">
        <v>14.0</v>
      </c>
      <c r="B18" s="132">
        <v>46324.0</v>
      </c>
      <c r="C18" s="146"/>
      <c r="D18" s="135">
        <f t="shared" si="1"/>
        <v>244.3</v>
      </c>
      <c r="E18" s="135">
        <f t="shared" si="2"/>
        <v>519.9</v>
      </c>
      <c r="F18" s="133">
        <f t="shared" si="3"/>
        <v>764.2</v>
      </c>
      <c r="G18" s="135">
        <f t="shared" si="4"/>
        <v>23914.6</v>
      </c>
    </row>
    <row r="19" ht="14.25" customHeight="1">
      <c r="A19" s="131">
        <v>15.0</v>
      </c>
      <c r="B19" s="132">
        <v>46355.0</v>
      </c>
      <c r="C19" s="146"/>
      <c r="D19" s="135">
        <f t="shared" si="1"/>
        <v>239.1</v>
      </c>
      <c r="E19" s="135">
        <f t="shared" si="2"/>
        <v>519.9</v>
      </c>
      <c r="F19" s="133">
        <f t="shared" si="3"/>
        <v>759</v>
      </c>
      <c r="G19" s="135">
        <f t="shared" si="4"/>
        <v>23394.7</v>
      </c>
    </row>
    <row r="20" ht="14.25" customHeight="1">
      <c r="A20" s="131">
        <v>16.0</v>
      </c>
      <c r="B20" s="132">
        <v>46385.0</v>
      </c>
      <c r="C20" s="146"/>
      <c r="D20" s="135">
        <f t="shared" si="1"/>
        <v>233.9</v>
      </c>
      <c r="E20" s="135">
        <f t="shared" si="2"/>
        <v>519.9</v>
      </c>
      <c r="F20" s="133">
        <f t="shared" si="3"/>
        <v>753.8</v>
      </c>
      <c r="G20" s="135">
        <f t="shared" si="4"/>
        <v>22874.8</v>
      </c>
    </row>
    <row r="21" ht="14.25" customHeight="1">
      <c r="A21" s="131">
        <v>17.0</v>
      </c>
      <c r="B21" s="132">
        <v>46416.0</v>
      </c>
      <c r="C21" s="146"/>
      <c r="D21" s="135">
        <f t="shared" si="1"/>
        <v>228.7</v>
      </c>
      <c r="E21" s="135">
        <f t="shared" si="2"/>
        <v>519.9</v>
      </c>
      <c r="F21" s="133">
        <f t="shared" si="3"/>
        <v>748.6</v>
      </c>
      <c r="G21" s="135">
        <f t="shared" si="4"/>
        <v>22354.9</v>
      </c>
    </row>
    <row r="22" ht="14.25" customHeight="1">
      <c r="A22" s="131">
        <v>18.0</v>
      </c>
      <c r="B22" s="132">
        <v>46446.0</v>
      </c>
      <c r="C22" s="146"/>
      <c r="D22" s="135">
        <f t="shared" si="1"/>
        <v>223.5</v>
      </c>
      <c r="E22" s="135">
        <f t="shared" si="2"/>
        <v>519.9</v>
      </c>
      <c r="F22" s="133">
        <f t="shared" si="3"/>
        <v>743.4</v>
      </c>
      <c r="G22" s="135">
        <f t="shared" si="4"/>
        <v>21835</v>
      </c>
    </row>
    <row r="23" ht="14.25" customHeight="1">
      <c r="A23" s="131">
        <v>19.0</v>
      </c>
      <c r="B23" s="132">
        <v>46475.0</v>
      </c>
      <c r="C23" s="146"/>
      <c r="D23" s="135">
        <f t="shared" si="1"/>
        <v>218.4</v>
      </c>
      <c r="E23" s="135">
        <f t="shared" si="2"/>
        <v>519.9</v>
      </c>
      <c r="F23" s="133">
        <f t="shared" si="3"/>
        <v>738.3</v>
      </c>
      <c r="G23" s="135">
        <f t="shared" si="4"/>
        <v>21315.1</v>
      </c>
    </row>
    <row r="24" ht="14.25" customHeight="1">
      <c r="A24" s="131">
        <v>20.0</v>
      </c>
      <c r="B24" s="132">
        <v>46506.0</v>
      </c>
      <c r="C24" s="146"/>
      <c r="D24" s="135">
        <f t="shared" si="1"/>
        <v>213.2</v>
      </c>
      <c r="E24" s="135">
        <f t="shared" si="2"/>
        <v>519.9</v>
      </c>
      <c r="F24" s="133">
        <f t="shared" si="3"/>
        <v>733.1</v>
      </c>
      <c r="G24" s="135">
        <f t="shared" si="4"/>
        <v>20795.2</v>
      </c>
    </row>
    <row r="25" ht="14.25" customHeight="1">
      <c r="A25" s="131">
        <v>21.0</v>
      </c>
      <c r="B25" s="132">
        <v>46536.0</v>
      </c>
      <c r="C25" s="146"/>
      <c r="D25" s="135">
        <f t="shared" si="1"/>
        <v>208</v>
      </c>
      <c r="E25" s="135">
        <f t="shared" si="2"/>
        <v>519.9</v>
      </c>
      <c r="F25" s="133">
        <f t="shared" si="3"/>
        <v>727.9</v>
      </c>
      <c r="G25" s="135">
        <f t="shared" si="4"/>
        <v>20275.3</v>
      </c>
    </row>
    <row r="26" ht="14.25" customHeight="1">
      <c r="A26" s="131">
        <v>22.0</v>
      </c>
      <c r="B26" s="132">
        <v>46567.0</v>
      </c>
      <c r="C26" s="146"/>
      <c r="D26" s="135">
        <f t="shared" si="1"/>
        <v>202.8</v>
      </c>
      <c r="E26" s="135">
        <f t="shared" si="2"/>
        <v>519.9</v>
      </c>
      <c r="F26" s="133">
        <f t="shared" si="3"/>
        <v>722.7</v>
      </c>
      <c r="G26" s="135">
        <f t="shared" si="4"/>
        <v>19755.4</v>
      </c>
    </row>
    <row r="27" ht="14.25" customHeight="1">
      <c r="A27" s="131">
        <v>23.0</v>
      </c>
      <c r="B27" s="132">
        <v>46597.0</v>
      </c>
      <c r="C27" s="146"/>
      <c r="D27" s="135">
        <f t="shared" si="1"/>
        <v>197.6</v>
      </c>
      <c r="E27" s="135">
        <f t="shared" si="2"/>
        <v>519.9</v>
      </c>
      <c r="F27" s="133">
        <f t="shared" si="3"/>
        <v>717.5</v>
      </c>
      <c r="G27" s="135">
        <f t="shared" si="4"/>
        <v>19235.5</v>
      </c>
    </row>
    <row r="28" ht="14.25" customHeight="1">
      <c r="A28" s="131">
        <v>24.0</v>
      </c>
      <c r="B28" s="132">
        <v>46628.0</v>
      </c>
      <c r="C28" s="146"/>
      <c r="D28" s="135">
        <f t="shared" si="1"/>
        <v>192.4</v>
      </c>
      <c r="E28" s="135">
        <f t="shared" si="2"/>
        <v>519.9</v>
      </c>
      <c r="F28" s="133">
        <f t="shared" si="3"/>
        <v>712.3</v>
      </c>
      <c r="G28" s="135">
        <f t="shared" si="4"/>
        <v>18715.6</v>
      </c>
    </row>
    <row r="29" ht="14.25" customHeight="1">
      <c r="A29" s="131">
        <v>25.0</v>
      </c>
      <c r="B29" s="132">
        <v>46659.0</v>
      </c>
      <c r="C29" s="146"/>
      <c r="D29" s="135">
        <f t="shared" si="1"/>
        <v>187.2</v>
      </c>
      <c r="E29" s="135">
        <f t="shared" si="2"/>
        <v>519.9</v>
      </c>
      <c r="F29" s="133">
        <f t="shared" si="3"/>
        <v>707.1</v>
      </c>
      <c r="G29" s="135">
        <f t="shared" si="4"/>
        <v>18195.7</v>
      </c>
    </row>
    <row r="30" ht="14.25" customHeight="1">
      <c r="A30" s="131">
        <v>26.0</v>
      </c>
      <c r="B30" s="132">
        <v>46689.0</v>
      </c>
      <c r="C30" s="146"/>
      <c r="D30" s="135">
        <f t="shared" si="1"/>
        <v>182</v>
      </c>
      <c r="E30" s="135">
        <f t="shared" si="2"/>
        <v>519.9</v>
      </c>
      <c r="F30" s="133">
        <f t="shared" si="3"/>
        <v>701.9</v>
      </c>
      <c r="G30" s="135">
        <f t="shared" si="4"/>
        <v>17675.8</v>
      </c>
    </row>
    <row r="31" ht="14.25" customHeight="1">
      <c r="A31" s="131">
        <v>27.0</v>
      </c>
      <c r="B31" s="132">
        <v>46720.0</v>
      </c>
      <c r="C31" s="146"/>
      <c r="D31" s="135">
        <f t="shared" si="1"/>
        <v>176.8</v>
      </c>
      <c r="E31" s="135">
        <f t="shared" si="2"/>
        <v>519.9</v>
      </c>
      <c r="F31" s="133">
        <f t="shared" si="3"/>
        <v>696.7</v>
      </c>
      <c r="G31" s="135">
        <f t="shared" si="4"/>
        <v>17155.9</v>
      </c>
    </row>
    <row r="32" ht="14.25" customHeight="1">
      <c r="A32" s="131">
        <v>28.0</v>
      </c>
      <c r="B32" s="132">
        <v>46750.0</v>
      </c>
      <c r="C32" s="146"/>
      <c r="D32" s="135">
        <f t="shared" si="1"/>
        <v>171.6</v>
      </c>
      <c r="E32" s="135">
        <f t="shared" si="2"/>
        <v>519.9</v>
      </c>
      <c r="F32" s="133">
        <f t="shared" si="3"/>
        <v>691.5</v>
      </c>
      <c r="G32" s="135">
        <f t="shared" si="4"/>
        <v>16636</v>
      </c>
    </row>
    <row r="33" ht="14.25" customHeight="1">
      <c r="A33" s="131">
        <v>29.0</v>
      </c>
      <c r="B33" s="132">
        <v>46781.0</v>
      </c>
      <c r="C33" s="146"/>
      <c r="D33" s="135">
        <f t="shared" si="1"/>
        <v>166.4</v>
      </c>
      <c r="E33" s="135">
        <f t="shared" si="2"/>
        <v>519.9</v>
      </c>
      <c r="F33" s="133">
        <f t="shared" si="3"/>
        <v>686.3</v>
      </c>
      <c r="G33" s="135">
        <f t="shared" si="4"/>
        <v>16116.1</v>
      </c>
    </row>
    <row r="34" ht="14.25" customHeight="1">
      <c r="A34" s="131">
        <v>30.0</v>
      </c>
      <c r="B34" s="132">
        <v>46812.0</v>
      </c>
      <c r="C34" s="146"/>
      <c r="D34" s="135">
        <f t="shared" si="1"/>
        <v>161.2</v>
      </c>
      <c r="E34" s="135">
        <f t="shared" si="2"/>
        <v>519.9</v>
      </c>
      <c r="F34" s="133">
        <f t="shared" si="3"/>
        <v>681.1</v>
      </c>
      <c r="G34" s="135">
        <f t="shared" si="4"/>
        <v>15596.2</v>
      </c>
    </row>
    <row r="35" ht="14.25" customHeight="1">
      <c r="A35" s="131">
        <v>31.0</v>
      </c>
      <c r="B35" s="132">
        <v>46841.0</v>
      </c>
      <c r="C35" s="146"/>
      <c r="D35" s="135">
        <f t="shared" si="1"/>
        <v>156</v>
      </c>
      <c r="E35" s="135">
        <f t="shared" si="2"/>
        <v>519.9</v>
      </c>
      <c r="F35" s="133">
        <f t="shared" si="3"/>
        <v>675.9</v>
      </c>
      <c r="G35" s="135">
        <f t="shared" si="4"/>
        <v>15076.3</v>
      </c>
    </row>
    <row r="36" ht="14.25" customHeight="1">
      <c r="A36" s="131">
        <v>32.0</v>
      </c>
      <c r="B36" s="132">
        <v>46872.0</v>
      </c>
      <c r="C36" s="146"/>
      <c r="D36" s="135">
        <f t="shared" si="1"/>
        <v>150.8</v>
      </c>
      <c r="E36" s="135">
        <f t="shared" si="2"/>
        <v>519.9</v>
      </c>
      <c r="F36" s="133">
        <f t="shared" si="3"/>
        <v>670.7</v>
      </c>
      <c r="G36" s="135">
        <f t="shared" si="4"/>
        <v>14556.4</v>
      </c>
    </row>
    <row r="37" ht="14.25" customHeight="1">
      <c r="A37" s="131">
        <v>33.0</v>
      </c>
      <c r="B37" s="132">
        <v>46902.0</v>
      </c>
      <c r="C37" s="146"/>
      <c r="D37" s="135">
        <f t="shared" si="1"/>
        <v>145.6</v>
      </c>
      <c r="E37" s="135">
        <f t="shared" si="2"/>
        <v>519.9</v>
      </c>
      <c r="F37" s="133">
        <f t="shared" si="3"/>
        <v>665.5</v>
      </c>
      <c r="G37" s="135">
        <f t="shared" si="4"/>
        <v>14036.5</v>
      </c>
    </row>
    <row r="38" ht="14.25" customHeight="1">
      <c r="A38" s="131">
        <v>34.0</v>
      </c>
      <c r="B38" s="132">
        <v>46933.0</v>
      </c>
      <c r="C38" s="146"/>
      <c r="D38" s="135">
        <f t="shared" si="1"/>
        <v>140.4</v>
      </c>
      <c r="E38" s="135">
        <f t="shared" si="2"/>
        <v>519.9</v>
      </c>
      <c r="F38" s="133">
        <f t="shared" si="3"/>
        <v>660.3</v>
      </c>
      <c r="G38" s="135">
        <f t="shared" si="4"/>
        <v>13516.6</v>
      </c>
    </row>
    <row r="39" ht="14.25" customHeight="1">
      <c r="A39" s="131">
        <v>35.0</v>
      </c>
      <c r="B39" s="132">
        <v>46963.0</v>
      </c>
      <c r="C39" s="146"/>
      <c r="D39" s="135">
        <f t="shared" si="1"/>
        <v>135.2</v>
      </c>
      <c r="E39" s="135">
        <f t="shared" si="2"/>
        <v>519.9</v>
      </c>
      <c r="F39" s="133">
        <f t="shared" si="3"/>
        <v>655.1</v>
      </c>
      <c r="G39" s="135">
        <f t="shared" si="4"/>
        <v>12996.7</v>
      </c>
    </row>
    <row r="40" ht="14.25" customHeight="1">
      <c r="A40" s="131">
        <v>36.0</v>
      </c>
      <c r="B40" s="132">
        <v>46994.0</v>
      </c>
      <c r="C40" s="146"/>
      <c r="D40" s="135">
        <f t="shared" si="1"/>
        <v>130</v>
      </c>
      <c r="E40" s="135">
        <f t="shared" si="2"/>
        <v>519.9</v>
      </c>
      <c r="F40" s="133">
        <f t="shared" si="3"/>
        <v>649.9</v>
      </c>
      <c r="G40" s="135">
        <f t="shared" si="4"/>
        <v>12476.8</v>
      </c>
    </row>
    <row r="41" ht="14.25" customHeight="1">
      <c r="A41" s="131">
        <v>37.0</v>
      </c>
      <c r="B41" s="132">
        <v>47025.0</v>
      </c>
      <c r="C41" s="146"/>
      <c r="D41" s="135">
        <f t="shared" si="1"/>
        <v>124.8</v>
      </c>
      <c r="E41" s="135">
        <f t="shared" si="2"/>
        <v>519.9</v>
      </c>
      <c r="F41" s="133">
        <f t="shared" si="3"/>
        <v>644.7</v>
      </c>
      <c r="G41" s="135">
        <f t="shared" si="4"/>
        <v>11956.9</v>
      </c>
    </row>
    <row r="42" ht="14.25" customHeight="1">
      <c r="A42" s="131">
        <v>38.0</v>
      </c>
      <c r="B42" s="132">
        <v>47055.0</v>
      </c>
      <c r="C42" s="146"/>
      <c r="D42" s="135">
        <f t="shared" si="1"/>
        <v>119.6</v>
      </c>
      <c r="E42" s="135">
        <f t="shared" si="2"/>
        <v>519.9</v>
      </c>
      <c r="F42" s="133">
        <f t="shared" si="3"/>
        <v>639.5</v>
      </c>
      <c r="G42" s="135">
        <f t="shared" si="4"/>
        <v>11437</v>
      </c>
    </row>
    <row r="43" ht="14.25" customHeight="1">
      <c r="A43" s="131">
        <v>39.0</v>
      </c>
      <c r="B43" s="132">
        <v>47086.0</v>
      </c>
      <c r="C43" s="146"/>
      <c r="D43" s="135">
        <f t="shared" si="1"/>
        <v>114.4</v>
      </c>
      <c r="E43" s="135">
        <f t="shared" si="2"/>
        <v>519.9</v>
      </c>
      <c r="F43" s="133">
        <f t="shared" si="3"/>
        <v>634.3</v>
      </c>
      <c r="G43" s="135">
        <f t="shared" si="4"/>
        <v>10917.1</v>
      </c>
    </row>
    <row r="44" ht="14.25" customHeight="1">
      <c r="A44" s="131">
        <v>40.0</v>
      </c>
      <c r="B44" s="132">
        <v>47116.0</v>
      </c>
      <c r="C44" s="146"/>
      <c r="D44" s="135">
        <f t="shared" si="1"/>
        <v>109.2</v>
      </c>
      <c r="E44" s="135">
        <f t="shared" si="2"/>
        <v>519.9</v>
      </c>
      <c r="F44" s="133">
        <f t="shared" si="3"/>
        <v>629.1</v>
      </c>
      <c r="G44" s="135">
        <f t="shared" si="4"/>
        <v>10397.2</v>
      </c>
    </row>
    <row r="45" ht="14.25" customHeight="1">
      <c r="A45" s="131">
        <v>41.0</v>
      </c>
      <c r="B45" s="132">
        <v>47147.0</v>
      </c>
      <c r="C45" s="146"/>
      <c r="D45" s="135">
        <f t="shared" si="1"/>
        <v>104</v>
      </c>
      <c r="E45" s="135">
        <f t="shared" si="2"/>
        <v>519.9</v>
      </c>
      <c r="F45" s="133">
        <f t="shared" si="3"/>
        <v>623.9</v>
      </c>
      <c r="G45" s="135">
        <f t="shared" si="4"/>
        <v>9877.3</v>
      </c>
    </row>
    <row r="46" ht="14.25" customHeight="1">
      <c r="A46" s="131">
        <v>42.0</v>
      </c>
      <c r="B46" s="132">
        <v>47177.0</v>
      </c>
      <c r="C46" s="146"/>
      <c r="D46" s="135">
        <f t="shared" si="1"/>
        <v>98.8</v>
      </c>
      <c r="E46" s="135">
        <f t="shared" si="2"/>
        <v>519.9</v>
      </c>
      <c r="F46" s="133">
        <f t="shared" si="3"/>
        <v>618.7</v>
      </c>
      <c r="G46" s="135">
        <f t="shared" si="4"/>
        <v>9357.4</v>
      </c>
    </row>
    <row r="47" ht="14.25" customHeight="1">
      <c r="A47" s="131">
        <v>43.0</v>
      </c>
      <c r="B47" s="132">
        <v>47206.0</v>
      </c>
      <c r="C47" s="146"/>
      <c r="D47" s="135">
        <f t="shared" si="1"/>
        <v>93.6</v>
      </c>
      <c r="E47" s="135">
        <f t="shared" si="2"/>
        <v>519.9</v>
      </c>
      <c r="F47" s="133">
        <f t="shared" si="3"/>
        <v>613.5</v>
      </c>
      <c r="G47" s="135">
        <f t="shared" si="4"/>
        <v>8837.5</v>
      </c>
    </row>
    <row r="48" ht="14.25" customHeight="1">
      <c r="A48" s="131">
        <v>44.0</v>
      </c>
      <c r="B48" s="132">
        <v>47237.0</v>
      </c>
      <c r="C48" s="146"/>
      <c r="D48" s="135">
        <f t="shared" si="1"/>
        <v>88.4</v>
      </c>
      <c r="E48" s="135">
        <f t="shared" si="2"/>
        <v>519.9</v>
      </c>
      <c r="F48" s="133">
        <f t="shared" si="3"/>
        <v>608.3</v>
      </c>
      <c r="G48" s="135">
        <f t="shared" si="4"/>
        <v>8317.6</v>
      </c>
    </row>
    <row r="49" ht="14.25" customHeight="1">
      <c r="A49" s="131">
        <v>45.0</v>
      </c>
      <c r="B49" s="132">
        <v>47267.0</v>
      </c>
      <c r="C49" s="146"/>
      <c r="D49" s="135">
        <f t="shared" si="1"/>
        <v>83.2</v>
      </c>
      <c r="E49" s="135">
        <f t="shared" si="2"/>
        <v>519.9</v>
      </c>
      <c r="F49" s="133">
        <f t="shared" si="3"/>
        <v>603.1</v>
      </c>
      <c r="G49" s="135">
        <f t="shared" si="4"/>
        <v>7797.7</v>
      </c>
    </row>
    <row r="50" ht="14.25" customHeight="1">
      <c r="A50" s="131">
        <v>46.0</v>
      </c>
      <c r="B50" s="132">
        <v>47298.0</v>
      </c>
      <c r="C50" s="146"/>
      <c r="D50" s="135">
        <f t="shared" si="1"/>
        <v>78</v>
      </c>
      <c r="E50" s="135">
        <f t="shared" si="2"/>
        <v>519.9</v>
      </c>
      <c r="F50" s="133">
        <f t="shared" si="3"/>
        <v>597.9</v>
      </c>
      <c r="G50" s="135">
        <f t="shared" si="4"/>
        <v>7277.8</v>
      </c>
    </row>
    <row r="51" ht="14.25" customHeight="1">
      <c r="A51" s="131">
        <v>47.0</v>
      </c>
      <c r="B51" s="132">
        <v>47328.0</v>
      </c>
      <c r="C51" s="146"/>
      <c r="D51" s="135">
        <f t="shared" si="1"/>
        <v>72.8</v>
      </c>
      <c r="E51" s="135">
        <f t="shared" si="2"/>
        <v>519.9</v>
      </c>
      <c r="F51" s="133">
        <f t="shared" si="3"/>
        <v>592.7</v>
      </c>
      <c r="G51" s="135">
        <f t="shared" si="4"/>
        <v>6757.9</v>
      </c>
    </row>
    <row r="52" ht="14.25" customHeight="1">
      <c r="A52" s="131">
        <v>48.0</v>
      </c>
      <c r="B52" s="132">
        <v>47359.0</v>
      </c>
      <c r="C52" s="146"/>
      <c r="D52" s="135">
        <f t="shared" si="1"/>
        <v>67.6</v>
      </c>
      <c r="E52" s="135">
        <f t="shared" si="2"/>
        <v>519.9</v>
      </c>
      <c r="F52" s="133">
        <f t="shared" si="3"/>
        <v>587.5</v>
      </c>
      <c r="G52" s="135">
        <f t="shared" si="4"/>
        <v>6238</v>
      </c>
    </row>
    <row r="53" ht="14.25" customHeight="1">
      <c r="A53" s="131">
        <v>49.0</v>
      </c>
      <c r="B53" s="132">
        <v>47390.0</v>
      </c>
      <c r="C53" s="146"/>
      <c r="D53" s="135">
        <f t="shared" si="1"/>
        <v>62.4</v>
      </c>
      <c r="E53" s="135">
        <f t="shared" si="2"/>
        <v>519.9</v>
      </c>
      <c r="F53" s="133">
        <f t="shared" si="3"/>
        <v>582.3</v>
      </c>
      <c r="G53" s="135">
        <f t="shared" si="4"/>
        <v>5718.1</v>
      </c>
    </row>
    <row r="54" ht="14.25" customHeight="1">
      <c r="A54" s="131">
        <v>50.0</v>
      </c>
      <c r="B54" s="132">
        <v>47420.0</v>
      </c>
      <c r="C54" s="146"/>
      <c r="D54" s="135">
        <f t="shared" si="1"/>
        <v>57.2</v>
      </c>
      <c r="E54" s="135">
        <f t="shared" si="2"/>
        <v>519.9</v>
      </c>
      <c r="F54" s="133">
        <f t="shared" si="3"/>
        <v>577.1</v>
      </c>
      <c r="G54" s="135">
        <f t="shared" si="4"/>
        <v>5198.2</v>
      </c>
    </row>
    <row r="55" ht="14.25" customHeight="1">
      <c r="A55" s="131">
        <v>51.0</v>
      </c>
      <c r="B55" s="132">
        <v>47451.0</v>
      </c>
      <c r="C55" s="146"/>
      <c r="D55" s="135">
        <f t="shared" si="1"/>
        <v>52</v>
      </c>
      <c r="E55" s="135">
        <f t="shared" si="2"/>
        <v>519.9</v>
      </c>
      <c r="F55" s="133">
        <f t="shared" si="3"/>
        <v>571.9</v>
      </c>
      <c r="G55" s="135">
        <f t="shared" si="4"/>
        <v>4678.3</v>
      </c>
    </row>
    <row r="56" ht="14.25" customHeight="1">
      <c r="A56" s="131">
        <v>52.0</v>
      </c>
      <c r="B56" s="132">
        <v>47481.0</v>
      </c>
      <c r="C56" s="146"/>
      <c r="D56" s="135">
        <f t="shared" si="1"/>
        <v>46.8</v>
      </c>
      <c r="E56" s="135">
        <f t="shared" si="2"/>
        <v>519.9</v>
      </c>
      <c r="F56" s="133">
        <f t="shared" si="3"/>
        <v>566.7</v>
      </c>
      <c r="G56" s="135">
        <f t="shared" si="4"/>
        <v>4158.4</v>
      </c>
    </row>
    <row r="57" ht="14.25" customHeight="1">
      <c r="A57" s="131">
        <v>53.0</v>
      </c>
      <c r="B57" s="132">
        <v>47512.0</v>
      </c>
      <c r="C57" s="146"/>
      <c r="D57" s="135">
        <f t="shared" si="1"/>
        <v>41.6</v>
      </c>
      <c r="E57" s="135">
        <f t="shared" si="2"/>
        <v>519.9</v>
      </c>
      <c r="F57" s="133">
        <f t="shared" si="3"/>
        <v>561.5</v>
      </c>
      <c r="G57" s="135">
        <f t="shared" si="4"/>
        <v>3638.5</v>
      </c>
    </row>
    <row r="58" ht="14.25" customHeight="1">
      <c r="A58" s="131">
        <v>54.0</v>
      </c>
      <c r="B58" s="132">
        <v>47542.0</v>
      </c>
      <c r="C58" s="146"/>
      <c r="D58" s="135">
        <f t="shared" si="1"/>
        <v>36.4</v>
      </c>
      <c r="E58" s="135">
        <f t="shared" si="2"/>
        <v>519.9</v>
      </c>
      <c r="F58" s="133">
        <f t="shared" si="3"/>
        <v>556.3</v>
      </c>
      <c r="G58" s="135">
        <f t="shared" si="4"/>
        <v>3118.6</v>
      </c>
    </row>
    <row r="59" ht="14.25" customHeight="1">
      <c r="A59" s="131">
        <v>55.0</v>
      </c>
      <c r="B59" s="132">
        <v>47571.0</v>
      </c>
      <c r="C59" s="146"/>
      <c r="D59" s="135">
        <f t="shared" si="1"/>
        <v>31.2</v>
      </c>
      <c r="E59" s="135">
        <f t="shared" si="2"/>
        <v>519.9</v>
      </c>
      <c r="F59" s="133">
        <f t="shared" si="3"/>
        <v>551.1</v>
      </c>
      <c r="G59" s="135">
        <f t="shared" si="4"/>
        <v>2598.7</v>
      </c>
    </row>
    <row r="60" ht="14.25" customHeight="1">
      <c r="A60" s="131">
        <v>56.0</v>
      </c>
      <c r="B60" s="132">
        <v>47602.0</v>
      </c>
      <c r="C60" s="146"/>
      <c r="D60" s="135">
        <f t="shared" si="1"/>
        <v>26</v>
      </c>
      <c r="E60" s="135">
        <f t="shared" si="2"/>
        <v>519.9</v>
      </c>
      <c r="F60" s="133">
        <f t="shared" si="3"/>
        <v>545.9</v>
      </c>
      <c r="G60" s="135">
        <f t="shared" si="4"/>
        <v>2078.8</v>
      </c>
    </row>
    <row r="61" ht="14.25" customHeight="1">
      <c r="A61" s="131">
        <v>57.0</v>
      </c>
      <c r="B61" s="132">
        <v>47632.0</v>
      </c>
      <c r="C61" s="146"/>
      <c r="D61" s="135">
        <f t="shared" si="1"/>
        <v>20.8</v>
      </c>
      <c r="E61" s="135">
        <f t="shared" si="2"/>
        <v>519.9</v>
      </c>
      <c r="F61" s="133">
        <f t="shared" si="3"/>
        <v>540.7</v>
      </c>
      <c r="G61" s="135">
        <f t="shared" si="4"/>
        <v>1558.9</v>
      </c>
    </row>
    <row r="62" ht="14.25" customHeight="1">
      <c r="A62" s="131">
        <v>58.0</v>
      </c>
      <c r="B62" s="132">
        <v>47663.0</v>
      </c>
      <c r="C62" s="146"/>
      <c r="D62" s="135">
        <f t="shared" si="1"/>
        <v>15.6</v>
      </c>
      <c r="E62" s="135">
        <f t="shared" si="2"/>
        <v>519.9</v>
      </c>
      <c r="F62" s="133">
        <f t="shared" si="3"/>
        <v>535.5</v>
      </c>
      <c r="G62" s="135">
        <f t="shared" si="4"/>
        <v>1039</v>
      </c>
    </row>
    <row r="63" ht="14.25" customHeight="1">
      <c r="A63" s="131">
        <v>59.0</v>
      </c>
      <c r="B63" s="132">
        <v>47693.0</v>
      </c>
      <c r="C63" s="146"/>
      <c r="D63" s="135">
        <f t="shared" si="1"/>
        <v>10.4</v>
      </c>
      <c r="E63" s="135">
        <f t="shared" si="2"/>
        <v>519.9</v>
      </c>
      <c r="F63" s="133">
        <f t="shared" si="3"/>
        <v>530.3</v>
      </c>
      <c r="G63" s="135">
        <f t="shared" si="4"/>
        <v>519.1</v>
      </c>
    </row>
    <row r="64" ht="14.25" customHeight="1">
      <c r="A64" s="131">
        <v>60.0</v>
      </c>
      <c r="B64" s="132">
        <v>47724.0</v>
      </c>
      <c r="C64" s="146"/>
      <c r="D64" s="135">
        <f t="shared" si="1"/>
        <v>5.2</v>
      </c>
      <c r="E64" s="135">
        <f>ROUNDUP($C$4/60,1)-0.8</f>
        <v>519.1</v>
      </c>
      <c r="F64" s="133">
        <f t="shared" si="3"/>
        <v>524.3</v>
      </c>
      <c r="G64" s="135">
        <f t="shared" si="4"/>
        <v>0</v>
      </c>
    </row>
    <row r="65" ht="14.25" customHeight="1">
      <c r="A65" s="129" t="s">
        <v>252</v>
      </c>
      <c r="B65" s="2"/>
      <c r="C65" s="3"/>
      <c r="D65" s="147">
        <f t="shared" ref="D65:F65" si="5">+SUM(D5:D64)</f>
        <v>9514.2</v>
      </c>
      <c r="E65" s="147">
        <f t="shared" si="5"/>
        <v>31193.2</v>
      </c>
      <c r="F65" s="147">
        <f t="shared" si="5"/>
        <v>40707.4</v>
      </c>
      <c r="G65" s="148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65:C6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3.5"/>
    <col customWidth="1" min="10" max="10" width="14.63"/>
    <col customWidth="1" min="11" max="26" width="10.63"/>
  </cols>
  <sheetData>
    <row r="1" ht="14.25" customHeight="1">
      <c r="A1" s="128" t="s">
        <v>340</v>
      </c>
      <c r="B1" s="2"/>
      <c r="C1" s="2"/>
      <c r="D1" s="2"/>
      <c r="E1" s="2"/>
      <c r="F1" s="2"/>
      <c r="G1" s="3"/>
    </row>
    <row r="2" ht="14.25" customHeight="1">
      <c r="A2" s="129" t="s">
        <v>335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45806.0</v>
      </c>
      <c r="C4" s="133">
        <f>+J7</f>
        <v>35401.9</v>
      </c>
      <c r="D4" s="134">
        <v>0.01</v>
      </c>
      <c r="E4" s="135"/>
      <c r="F4" s="135"/>
      <c r="G4" s="135">
        <f>+C4</f>
        <v>35401.9</v>
      </c>
    </row>
    <row r="5" ht="14.25" customHeight="1">
      <c r="A5" s="136">
        <v>1.0</v>
      </c>
      <c r="B5" s="137">
        <v>45837.0</v>
      </c>
      <c r="C5" s="138"/>
      <c r="D5" s="138">
        <f t="shared" ref="D5:D88" si="1">+ROUND(G4*0.01,1)</f>
        <v>354</v>
      </c>
      <c r="E5" s="138">
        <f>ROUNDUP(C4/84,1)</f>
        <v>421.5</v>
      </c>
      <c r="F5" s="139">
        <f t="shared" ref="F5:F88" si="2">+ROUND(D5+E5,1)</f>
        <v>775.5</v>
      </c>
      <c r="G5" s="138">
        <f t="shared" ref="G5:G88" si="3">+ROUND(G4-E5,1)</f>
        <v>34980.4</v>
      </c>
      <c r="I5" s="140" t="s">
        <v>209</v>
      </c>
      <c r="J5" s="141">
        <v>25818.599999999988</v>
      </c>
    </row>
    <row r="6" ht="14.25" customHeight="1">
      <c r="A6" s="136">
        <v>2.0</v>
      </c>
      <c r="B6" s="137">
        <v>45867.0</v>
      </c>
      <c r="C6" s="144"/>
      <c r="D6" s="138">
        <f t="shared" si="1"/>
        <v>349.8</v>
      </c>
      <c r="E6" s="138">
        <f t="shared" ref="E6:E87" si="4">ROUNDUP($C$4/84,1)</f>
        <v>421.5</v>
      </c>
      <c r="F6" s="139">
        <f t="shared" si="2"/>
        <v>771.3</v>
      </c>
      <c r="G6" s="138">
        <f t="shared" si="3"/>
        <v>34558.9</v>
      </c>
      <c r="I6" s="140" t="s">
        <v>331</v>
      </c>
      <c r="J6" s="141">
        <v>9583.3</v>
      </c>
    </row>
    <row r="7" ht="14.25" customHeight="1">
      <c r="A7" s="136">
        <v>3.0</v>
      </c>
      <c r="B7" s="137">
        <v>45898.0</v>
      </c>
      <c r="C7" s="144"/>
      <c r="D7" s="138">
        <f t="shared" si="1"/>
        <v>345.6</v>
      </c>
      <c r="E7" s="138">
        <f t="shared" si="4"/>
        <v>421.5</v>
      </c>
      <c r="F7" s="139">
        <f t="shared" si="2"/>
        <v>767.1</v>
      </c>
      <c r="G7" s="138">
        <f t="shared" si="3"/>
        <v>34137.4</v>
      </c>
      <c r="I7" s="142" t="s">
        <v>252</v>
      </c>
      <c r="J7" s="143">
        <f>+SUM(J5:J6)</f>
        <v>35401.9</v>
      </c>
    </row>
    <row r="8" ht="14.25" customHeight="1">
      <c r="A8" s="136">
        <v>4.0</v>
      </c>
      <c r="B8" s="137">
        <v>45929.0</v>
      </c>
      <c r="C8" s="144"/>
      <c r="D8" s="138">
        <f t="shared" si="1"/>
        <v>341.4</v>
      </c>
      <c r="E8" s="138">
        <f t="shared" si="4"/>
        <v>421.5</v>
      </c>
      <c r="F8" s="139">
        <f t="shared" si="2"/>
        <v>762.9</v>
      </c>
      <c r="G8" s="138">
        <f t="shared" si="3"/>
        <v>33715.9</v>
      </c>
    </row>
    <row r="9" ht="14.25" customHeight="1">
      <c r="A9" s="136">
        <v>5.0</v>
      </c>
      <c r="B9" s="137">
        <v>45959.0</v>
      </c>
      <c r="C9" s="145"/>
      <c r="D9" s="138">
        <f t="shared" si="1"/>
        <v>337.2</v>
      </c>
      <c r="E9" s="138">
        <f t="shared" si="4"/>
        <v>421.5</v>
      </c>
      <c r="F9" s="139">
        <f t="shared" si="2"/>
        <v>758.7</v>
      </c>
      <c r="G9" s="138">
        <f t="shared" si="3"/>
        <v>33294.4</v>
      </c>
    </row>
    <row r="10" ht="14.25" customHeight="1">
      <c r="A10" s="136">
        <v>6.0</v>
      </c>
      <c r="B10" s="137">
        <v>45990.0</v>
      </c>
      <c r="C10" s="145"/>
      <c r="D10" s="138">
        <f t="shared" si="1"/>
        <v>332.9</v>
      </c>
      <c r="E10" s="138">
        <f t="shared" si="4"/>
        <v>421.5</v>
      </c>
      <c r="F10" s="139">
        <f t="shared" si="2"/>
        <v>754.4</v>
      </c>
      <c r="G10" s="138">
        <f t="shared" si="3"/>
        <v>32872.9</v>
      </c>
    </row>
    <row r="11" ht="14.25" customHeight="1">
      <c r="A11" s="136">
        <v>7.0</v>
      </c>
      <c r="B11" s="137">
        <v>46020.0</v>
      </c>
      <c r="C11" s="145"/>
      <c r="D11" s="138">
        <f t="shared" si="1"/>
        <v>328.7</v>
      </c>
      <c r="E11" s="138">
        <f t="shared" si="4"/>
        <v>421.5</v>
      </c>
      <c r="F11" s="139">
        <f t="shared" si="2"/>
        <v>750.2</v>
      </c>
      <c r="G11" s="138">
        <f t="shared" si="3"/>
        <v>32451.4</v>
      </c>
    </row>
    <row r="12" ht="14.25" customHeight="1">
      <c r="A12" s="131">
        <v>8.0</v>
      </c>
      <c r="B12" s="132">
        <v>46051.0</v>
      </c>
      <c r="C12" s="146"/>
      <c r="D12" s="135">
        <f t="shared" si="1"/>
        <v>324.5</v>
      </c>
      <c r="E12" s="135">
        <f t="shared" si="4"/>
        <v>421.5</v>
      </c>
      <c r="F12" s="133">
        <f t="shared" si="2"/>
        <v>746</v>
      </c>
      <c r="G12" s="135">
        <f t="shared" si="3"/>
        <v>32029.9</v>
      </c>
    </row>
    <row r="13" ht="14.25" customHeight="1">
      <c r="A13" s="131">
        <v>9.0</v>
      </c>
      <c r="B13" s="132">
        <v>46081.0</v>
      </c>
      <c r="C13" s="146"/>
      <c r="D13" s="135">
        <f t="shared" si="1"/>
        <v>320.3</v>
      </c>
      <c r="E13" s="135">
        <f t="shared" si="4"/>
        <v>421.5</v>
      </c>
      <c r="F13" s="133">
        <f t="shared" si="2"/>
        <v>741.8</v>
      </c>
      <c r="G13" s="135">
        <f t="shared" si="3"/>
        <v>31608.4</v>
      </c>
    </row>
    <row r="14" ht="14.25" customHeight="1">
      <c r="A14" s="131">
        <v>10.0</v>
      </c>
      <c r="B14" s="132">
        <v>46110.0</v>
      </c>
      <c r="C14" s="146"/>
      <c r="D14" s="135">
        <f t="shared" si="1"/>
        <v>316.1</v>
      </c>
      <c r="E14" s="135">
        <f t="shared" si="4"/>
        <v>421.5</v>
      </c>
      <c r="F14" s="133">
        <f t="shared" si="2"/>
        <v>737.6</v>
      </c>
      <c r="G14" s="135">
        <f t="shared" si="3"/>
        <v>31186.9</v>
      </c>
    </row>
    <row r="15" ht="14.25" customHeight="1">
      <c r="A15" s="131">
        <v>11.0</v>
      </c>
      <c r="B15" s="132">
        <v>46141.0</v>
      </c>
      <c r="C15" s="146"/>
      <c r="D15" s="135">
        <f t="shared" si="1"/>
        <v>311.9</v>
      </c>
      <c r="E15" s="135">
        <f t="shared" si="4"/>
        <v>421.5</v>
      </c>
      <c r="F15" s="133">
        <f t="shared" si="2"/>
        <v>733.4</v>
      </c>
      <c r="G15" s="135">
        <f t="shared" si="3"/>
        <v>30765.4</v>
      </c>
    </row>
    <row r="16" ht="14.25" customHeight="1">
      <c r="A16" s="131">
        <v>12.0</v>
      </c>
      <c r="B16" s="132">
        <v>46171.0</v>
      </c>
      <c r="C16" s="146"/>
      <c r="D16" s="135">
        <f t="shared" si="1"/>
        <v>307.7</v>
      </c>
      <c r="E16" s="135">
        <f t="shared" si="4"/>
        <v>421.5</v>
      </c>
      <c r="F16" s="133">
        <f t="shared" si="2"/>
        <v>729.2</v>
      </c>
      <c r="G16" s="135">
        <f t="shared" si="3"/>
        <v>30343.9</v>
      </c>
    </row>
    <row r="17" ht="14.25" customHeight="1">
      <c r="A17" s="131">
        <v>13.0</v>
      </c>
      <c r="B17" s="132">
        <v>46202.0</v>
      </c>
      <c r="C17" s="146"/>
      <c r="D17" s="135">
        <f t="shared" si="1"/>
        <v>303.4</v>
      </c>
      <c r="E17" s="135">
        <f t="shared" si="4"/>
        <v>421.5</v>
      </c>
      <c r="F17" s="133">
        <f t="shared" si="2"/>
        <v>724.9</v>
      </c>
      <c r="G17" s="135">
        <f t="shared" si="3"/>
        <v>29922.4</v>
      </c>
    </row>
    <row r="18" ht="14.25" customHeight="1">
      <c r="A18" s="131">
        <v>14.0</v>
      </c>
      <c r="B18" s="132">
        <v>46232.0</v>
      </c>
      <c r="C18" s="146"/>
      <c r="D18" s="135">
        <f t="shared" si="1"/>
        <v>299.2</v>
      </c>
      <c r="E18" s="135">
        <f t="shared" si="4"/>
        <v>421.5</v>
      </c>
      <c r="F18" s="133">
        <f t="shared" si="2"/>
        <v>720.7</v>
      </c>
      <c r="G18" s="135">
        <f t="shared" si="3"/>
        <v>29500.9</v>
      </c>
    </row>
    <row r="19" ht="14.25" customHeight="1">
      <c r="A19" s="131">
        <v>15.0</v>
      </c>
      <c r="B19" s="132">
        <v>46263.0</v>
      </c>
      <c r="C19" s="146"/>
      <c r="D19" s="135">
        <f t="shared" si="1"/>
        <v>295</v>
      </c>
      <c r="E19" s="135">
        <f t="shared" si="4"/>
        <v>421.5</v>
      </c>
      <c r="F19" s="133">
        <f t="shared" si="2"/>
        <v>716.5</v>
      </c>
      <c r="G19" s="135">
        <f t="shared" si="3"/>
        <v>29079.4</v>
      </c>
    </row>
    <row r="20" ht="14.25" customHeight="1">
      <c r="A20" s="131">
        <v>16.0</v>
      </c>
      <c r="B20" s="132">
        <v>46294.0</v>
      </c>
      <c r="C20" s="146"/>
      <c r="D20" s="135">
        <f t="shared" si="1"/>
        <v>290.8</v>
      </c>
      <c r="E20" s="135">
        <f t="shared" si="4"/>
        <v>421.5</v>
      </c>
      <c r="F20" s="133">
        <f t="shared" si="2"/>
        <v>712.3</v>
      </c>
      <c r="G20" s="135">
        <f t="shared" si="3"/>
        <v>28657.9</v>
      </c>
    </row>
    <row r="21" ht="14.25" customHeight="1">
      <c r="A21" s="131">
        <v>17.0</v>
      </c>
      <c r="B21" s="132">
        <v>46324.0</v>
      </c>
      <c r="C21" s="146"/>
      <c r="D21" s="135">
        <f t="shared" si="1"/>
        <v>286.6</v>
      </c>
      <c r="E21" s="135">
        <f t="shared" si="4"/>
        <v>421.5</v>
      </c>
      <c r="F21" s="133">
        <f t="shared" si="2"/>
        <v>708.1</v>
      </c>
      <c r="G21" s="135">
        <f t="shared" si="3"/>
        <v>28236.4</v>
      </c>
    </row>
    <row r="22" ht="14.25" customHeight="1">
      <c r="A22" s="131">
        <v>18.0</v>
      </c>
      <c r="B22" s="132">
        <v>46355.0</v>
      </c>
      <c r="C22" s="146"/>
      <c r="D22" s="135">
        <f t="shared" si="1"/>
        <v>282.4</v>
      </c>
      <c r="E22" s="135">
        <f t="shared" si="4"/>
        <v>421.5</v>
      </c>
      <c r="F22" s="133">
        <f t="shared" si="2"/>
        <v>703.9</v>
      </c>
      <c r="G22" s="135">
        <f t="shared" si="3"/>
        <v>27814.9</v>
      </c>
    </row>
    <row r="23" ht="14.25" customHeight="1">
      <c r="A23" s="131">
        <v>19.0</v>
      </c>
      <c r="B23" s="132">
        <v>46385.0</v>
      </c>
      <c r="C23" s="146"/>
      <c r="D23" s="135">
        <f t="shared" si="1"/>
        <v>278.1</v>
      </c>
      <c r="E23" s="135">
        <f t="shared" si="4"/>
        <v>421.5</v>
      </c>
      <c r="F23" s="133">
        <f t="shared" si="2"/>
        <v>699.6</v>
      </c>
      <c r="G23" s="135">
        <f t="shared" si="3"/>
        <v>27393.4</v>
      </c>
    </row>
    <row r="24" ht="14.25" customHeight="1">
      <c r="A24" s="131">
        <v>20.0</v>
      </c>
      <c r="B24" s="132">
        <v>46416.0</v>
      </c>
      <c r="C24" s="146"/>
      <c r="D24" s="135">
        <f t="shared" si="1"/>
        <v>273.9</v>
      </c>
      <c r="E24" s="135">
        <f t="shared" si="4"/>
        <v>421.5</v>
      </c>
      <c r="F24" s="133">
        <f t="shared" si="2"/>
        <v>695.4</v>
      </c>
      <c r="G24" s="135">
        <f t="shared" si="3"/>
        <v>26971.9</v>
      </c>
    </row>
    <row r="25" ht="14.25" customHeight="1">
      <c r="A25" s="131">
        <v>21.0</v>
      </c>
      <c r="B25" s="132">
        <v>46446.0</v>
      </c>
      <c r="C25" s="146"/>
      <c r="D25" s="135">
        <f t="shared" si="1"/>
        <v>269.7</v>
      </c>
      <c r="E25" s="135">
        <f t="shared" si="4"/>
        <v>421.5</v>
      </c>
      <c r="F25" s="133">
        <f t="shared" si="2"/>
        <v>691.2</v>
      </c>
      <c r="G25" s="135">
        <f t="shared" si="3"/>
        <v>26550.4</v>
      </c>
    </row>
    <row r="26" ht="14.25" customHeight="1">
      <c r="A26" s="131">
        <v>22.0</v>
      </c>
      <c r="B26" s="132">
        <v>46475.0</v>
      </c>
      <c r="C26" s="146"/>
      <c r="D26" s="135">
        <f t="shared" si="1"/>
        <v>265.5</v>
      </c>
      <c r="E26" s="135">
        <f t="shared" si="4"/>
        <v>421.5</v>
      </c>
      <c r="F26" s="133">
        <f t="shared" si="2"/>
        <v>687</v>
      </c>
      <c r="G26" s="135">
        <f t="shared" si="3"/>
        <v>26128.9</v>
      </c>
    </row>
    <row r="27" ht="14.25" customHeight="1">
      <c r="A27" s="131">
        <v>23.0</v>
      </c>
      <c r="B27" s="132">
        <v>46506.0</v>
      </c>
      <c r="C27" s="146"/>
      <c r="D27" s="135">
        <f t="shared" si="1"/>
        <v>261.3</v>
      </c>
      <c r="E27" s="135">
        <f t="shared" si="4"/>
        <v>421.5</v>
      </c>
      <c r="F27" s="133">
        <f t="shared" si="2"/>
        <v>682.8</v>
      </c>
      <c r="G27" s="135">
        <f t="shared" si="3"/>
        <v>25707.4</v>
      </c>
    </row>
    <row r="28" ht="14.25" customHeight="1">
      <c r="A28" s="131">
        <v>24.0</v>
      </c>
      <c r="B28" s="132">
        <v>46536.0</v>
      </c>
      <c r="C28" s="146"/>
      <c r="D28" s="135">
        <f t="shared" si="1"/>
        <v>257.1</v>
      </c>
      <c r="E28" s="135">
        <f t="shared" si="4"/>
        <v>421.5</v>
      </c>
      <c r="F28" s="133">
        <f t="shared" si="2"/>
        <v>678.6</v>
      </c>
      <c r="G28" s="135">
        <f t="shared" si="3"/>
        <v>25285.9</v>
      </c>
    </row>
    <row r="29" ht="14.25" customHeight="1">
      <c r="A29" s="131">
        <v>25.0</v>
      </c>
      <c r="B29" s="132">
        <v>46567.0</v>
      </c>
      <c r="C29" s="146"/>
      <c r="D29" s="135">
        <f t="shared" si="1"/>
        <v>252.9</v>
      </c>
      <c r="E29" s="135">
        <f t="shared" si="4"/>
        <v>421.5</v>
      </c>
      <c r="F29" s="133">
        <f t="shared" si="2"/>
        <v>674.4</v>
      </c>
      <c r="G29" s="135">
        <f t="shared" si="3"/>
        <v>24864.4</v>
      </c>
    </row>
    <row r="30" ht="14.25" customHeight="1">
      <c r="A30" s="131">
        <v>26.0</v>
      </c>
      <c r="B30" s="132">
        <v>46597.0</v>
      </c>
      <c r="C30" s="146"/>
      <c r="D30" s="135">
        <f t="shared" si="1"/>
        <v>248.6</v>
      </c>
      <c r="E30" s="135">
        <f t="shared" si="4"/>
        <v>421.5</v>
      </c>
      <c r="F30" s="133">
        <f t="shared" si="2"/>
        <v>670.1</v>
      </c>
      <c r="G30" s="135">
        <f t="shared" si="3"/>
        <v>24442.9</v>
      </c>
    </row>
    <row r="31" ht="14.25" customHeight="1">
      <c r="A31" s="131">
        <v>27.0</v>
      </c>
      <c r="B31" s="132">
        <v>46628.0</v>
      </c>
      <c r="C31" s="146"/>
      <c r="D31" s="135">
        <f t="shared" si="1"/>
        <v>244.4</v>
      </c>
      <c r="E31" s="135">
        <f t="shared" si="4"/>
        <v>421.5</v>
      </c>
      <c r="F31" s="133">
        <f t="shared" si="2"/>
        <v>665.9</v>
      </c>
      <c r="G31" s="135">
        <f t="shared" si="3"/>
        <v>24021.4</v>
      </c>
    </row>
    <row r="32" ht="14.25" customHeight="1">
      <c r="A32" s="131">
        <v>28.0</v>
      </c>
      <c r="B32" s="132">
        <v>46659.0</v>
      </c>
      <c r="C32" s="146"/>
      <c r="D32" s="135">
        <f t="shared" si="1"/>
        <v>240.2</v>
      </c>
      <c r="E32" s="135">
        <f t="shared" si="4"/>
        <v>421.5</v>
      </c>
      <c r="F32" s="133">
        <f t="shared" si="2"/>
        <v>661.7</v>
      </c>
      <c r="G32" s="135">
        <f t="shared" si="3"/>
        <v>23599.9</v>
      </c>
    </row>
    <row r="33" ht="14.25" customHeight="1">
      <c r="A33" s="131">
        <v>29.0</v>
      </c>
      <c r="B33" s="132">
        <v>46689.0</v>
      </c>
      <c r="C33" s="146"/>
      <c r="D33" s="135">
        <f t="shared" si="1"/>
        <v>236</v>
      </c>
      <c r="E33" s="135">
        <f t="shared" si="4"/>
        <v>421.5</v>
      </c>
      <c r="F33" s="133">
        <f t="shared" si="2"/>
        <v>657.5</v>
      </c>
      <c r="G33" s="135">
        <f t="shared" si="3"/>
        <v>23178.4</v>
      </c>
    </row>
    <row r="34" ht="14.25" customHeight="1">
      <c r="A34" s="131">
        <v>30.0</v>
      </c>
      <c r="B34" s="132">
        <v>46720.0</v>
      </c>
      <c r="C34" s="146"/>
      <c r="D34" s="135">
        <f t="shared" si="1"/>
        <v>231.8</v>
      </c>
      <c r="E34" s="135">
        <f t="shared" si="4"/>
        <v>421.5</v>
      </c>
      <c r="F34" s="133">
        <f t="shared" si="2"/>
        <v>653.3</v>
      </c>
      <c r="G34" s="135">
        <f t="shared" si="3"/>
        <v>22756.9</v>
      </c>
    </row>
    <row r="35" ht="14.25" customHeight="1">
      <c r="A35" s="131">
        <v>31.0</v>
      </c>
      <c r="B35" s="132">
        <v>46750.0</v>
      </c>
      <c r="C35" s="146"/>
      <c r="D35" s="135">
        <f t="shared" si="1"/>
        <v>227.6</v>
      </c>
      <c r="E35" s="135">
        <f t="shared" si="4"/>
        <v>421.5</v>
      </c>
      <c r="F35" s="133">
        <f t="shared" si="2"/>
        <v>649.1</v>
      </c>
      <c r="G35" s="135">
        <f t="shared" si="3"/>
        <v>22335.4</v>
      </c>
    </row>
    <row r="36" ht="14.25" customHeight="1">
      <c r="A36" s="131">
        <v>32.0</v>
      </c>
      <c r="B36" s="132">
        <v>46781.0</v>
      </c>
      <c r="C36" s="146"/>
      <c r="D36" s="135">
        <f t="shared" si="1"/>
        <v>223.4</v>
      </c>
      <c r="E36" s="135">
        <f t="shared" si="4"/>
        <v>421.5</v>
      </c>
      <c r="F36" s="133">
        <f t="shared" si="2"/>
        <v>644.9</v>
      </c>
      <c r="G36" s="135">
        <f t="shared" si="3"/>
        <v>21913.9</v>
      </c>
    </row>
    <row r="37" ht="14.25" customHeight="1">
      <c r="A37" s="131">
        <v>33.0</v>
      </c>
      <c r="B37" s="132">
        <v>46812.0</v>
      </c>
      <c r="C37" s="146"/>
      <c r="D37" s="135">
        <f t="shared" si="1"/>
        <v>219.1</v>
      </c>
      <c r="E37" s="135">
        <f t="shared" si="4"/>
        <v>421.5</v>
      </c>
      <c r="F37" s="133">
        <f t="shared" si="2"/>
        <v>640.6</v>
      </c>
      <c r="G37" s="135">
        <f t="shared" si="3"/>
        <v>21492.4</v>
      </c>
    </row>
    <row r="38" ht="14.25" customHeight="1">
      <c r="A38" s="131">
        <v>34.0</v>
      </c>
      <c r="B38" s="132">
        <v>46841.0</v>
      </c>
      <c r="C38" s="146"/>
      <c r="D38" s="135">
        <f t="shared" si="1"/>
        <v>214.9</v>
      </c>
      <c r="E38" s="135">
        <f t="shared" si="4"/>
        <v>421.5</v>
      </c>
      <c r="F38" s="133">
        <f t="shared" si="2"/>
        <v>636.4</v>
      </c>
      <c r="G38" s="135">
        <f t="shared" si="3"/>
        <v>21070.9</v>
      </c>
    </row>
    <row r="39" ht="14.25" customHeight="1">
      <c r="A39" s="131">
        <v>35.0</v>
      </c>
      <c r="B39" s="132">
        <v>46872.0</v>
      </c>
      <c r="C39" s="146"/>
      <c r="D39" s="135">
        <f t="shared" si="1"/>
        <v>210.7</v>
      </c>
      <c r="E39" s="135">
        <f t="shared" si="4"/>
        <v>421.5</v>
      </c>
      <c r="F39" s="133">
        <f t="shared" si="2"/>
        <v>632.2</v>
      </c>
      <c r="G39" s="135">
        <f t="shared" si="3"/>
        <v>20649.4</v>
      </c>
    </row>
    <row r="40" ht="14.25" customHeight="1">
      <c r="A40" s="131">
        <v>36.0</v>
      </c>
      <c r="B40" s="132">
        <v>46902.0</v>
      </c>
      <c r="C40" s="146"/>
      <c r="D40" s="135">
        <f t="shared" si="1"/>
        <v>206.5</v>
      </c>
      <c r="E40" s="135">
        <f t="shared" si="4"/>
        <v>421.5</v>
      </c>
      <c r="F40" s="133">
        <f t="shared" si="2"/>
        <v>628</v>
      </c>
      <c r="G40" s="135">
        <f t="shared" si="3"/>
        <v>20227.9</v>
      </c>
    </row>
    <row r="41" ht="14.25" customHeight="1">
      <c r="A41" s="131">
        <v>37.0</v>
      </c>
      <c r="B41" s="132">
        <v>46933.0</v>
      </c>
      <c r="C41" s="146"/>
      <c r="D41" s="135">
        <f t="shared" si="1"/>
        <v>202.3</v>
      </c>
      <c r="E41" s="135">
        <f t="shared" si="4"/>
        <v>421.5</v>
      </c>
      <c r="F41" s="133">
        <f t="shared" si="2"/>
        <v>623.8</v>
      </c>
      <c r="G41" s="135">
        <f t="shared" si="3"/>
        <v>19806.4</v>
      </c>
    </row>
    <row r="42" ht="14.25" customHeight="1">
      <c r="A42" s="131">
        <v>38.0</v>
      </c>
      <c r="B42" s="132">
        <v>46963.0</v>
      </c>
      <c r="C42" s="146"/>
      <c r="D42" s="135">
        <f t="shared" si="1"/>
        <v>198.1</v>
      </c>
      <c r="E42" s="135">
        <f t="shared" si="4"/>
        <v>421.5</v>
      </c>
      <c r="F42" s="133">
        <f t="shared" si="2"/>
        <v>619.6</v>
      </c>
      <c r="G42" s="135">
        <f t="shared" si="3"/>
        <v>19384.9</v>
      </c>
    </row>
    <row r="43" ht="14.25" customHeight="1">
      <c r="A43" s="131">
        <v>39.0</v>
      </c>
      <c r="B43" s="132">
        <v>46994.0</v>
      </c>
      <c r="C43" s="146"/>
      <c r="D43" s="135">
        <f t="shared" si="1"/>
        <v>193.8</v>
      </c>
      <c r="E43" s="135">
        <f t="shared" si="4"/>
        <v>421.5</v>
      </c>
      <c r="F43" s="133">
        <f t="shared" si="2"/>
        <v>615.3</v>
      </c>
      <c r="G43" s="135">
        <f t="shared" si="3"/>
        <v>18963.4</v>
      </c>
    </row>
    <row r="44" ht="14.25" customHeight="1">
      <c r="A44" s="131">
        <v>40.0</v>
      </c>
      <c r="B44" s="132">
        <v>47025.0</v>
      </c>
      <c r="C44" s="146"/>
      <c r="D44" s="135">
        <f t="shared" si="1"/>
        <v>189.6</v>
      </c>
      <c r="E44" s="135">
        <f t="shared" si="4"/>
        <v>421.5</v>
      </c>
      <c r="F44" s="133">
        <f t="shared" si="2"/>
        <v>611.1</v>
      </c>
      <c r="G44" s="135">
        <f t="shared" si="3"/>
        <v>18541.9</v>
      </c>
    </row>
    <row r="45" ht="14.25" customHeight="1">
      <c r="A45" s="131">
        <v>41.0</v>
      </c>
      <c r="B45" s="132">
        <v>47055.0</v>
      </c>
      <c r="C45" s="146"/>
      <c r="D45" s="135">
        <f t="shared" si="1"/>
        <v>185.4</v>
      </c>
      <c r="E45" s="135">
        <f t="shared" si="4"/>
        <v>421.5</v>
      </c>
      <c r="F45" s="133">
        <f t="shared" si="2"/>
        <v>606.9</v>
      </c>
      <c r="G45" s="135">
        <f t="shared" si="3"/>
        <v>18120.4</v>
      </c>
    </row>
    <row r="46" ht="14.25" customHeight="1">
      <c r="A46" s="131">
        <v>42.0</v>
      </c>
      <c r="B46" s="132">
        <v>47086.0</v>
      </c>
      <c r="C46" s="146"/>
      <c r="D46" s="135">
        <f t="shared" si="1"/>
        <v>181.2</v>
      </c>
      <c r="E46" s="135">
        <f t="shared" si="4"/>
        <v>421.5</v>
      </c>
      <c r="F46" s="133">
        <f t="shared" si="2"/>
        <v>602.7</v>
      </c>
      <c r="G46" s="135">
        <f t="shared" si="3"/>
        <v>17698.9</v>
      </c>
    </row>
    <row r="47" ht="14.25" customHeight="1">
      <c r="A47" s="131">
        <v>43.0</v>
      </c>
      <c r="B47" s="132">
        <v>47116.0</v>
      </c>
      <c r="C47" s="146"/>
      <c r="D47" s="135">
        <f t="shared" si="1"/>
        <v>177</v>
      </c>
      <c r="E47" s="135">
        <f t="shared" si="4"/>
        <v>421.5</v>
      </c>
      <c r="F47" s="133">
        <f t="shared" si="2"/>
        <v>598.5</v>
      </c>
      <c r="G47" s="135">
        <f t="shared" si="3"/>
        <v>17277.4</v>
      </c>
    </row>
    <row r="48" ht="14.25" customHeight="1">
      <c r="A48" s="131">
        <v>44.0</v>
      </c>
      <c r="B48" s="132">
        <v>47147.0</v>
      </c>
      <c r="C48" s="146"/>
      <c r="D48" s="135">
        <f t="shared" si="1"/>
        <v>172.8</v>
      </c>
      <c r="E48" s="135">
        <f t="shared" si="4"/>
        <v>421.5</v>
      </c>
      <c r="F48" s="133">
        <f t="shared" si="2"/>
        <v>594.3</v>
      </c>
      <c r="G48" s="135">
        <f t="shared" si="3"/>
        <v>16855.9</v>
      </c>
    </row>
    <row r="49" ht="14.25" customHeight="1">
      <c r="A49" s="131">
        <v>45.0</v>
      </c>
      <c r="B49" s="132">
        <v>47177.0</v>
      </c>
      <c r="C49" s="146"/>
      <c r="D49" s="135">
        <f t="shared" si="1"/>
        <v>168.6</v>
      </c>
      <c r="E49" s="135">
        <f t="shared" si="4"/>
        <v>421.5</v>
      </c>
      <c r="F49" s="133">
        <f t="shared" si="2"/>
        <v>590.1</v>
      </c>
      <c r="G49" s="135">
        <f t="shared" si="3"/>
        <v>16434.4</v>
      </c>
    </row>
    <row r="50" ht="14.25" customHeight="1">
      <c r="A50" s="131">
        <v>46.0</v>
      </c>
      <c r="B50" s="132">
        <v>47206.0</v>
      </c>
      <c r="C50" s="146"/>
      <c r="D50" s="135">
        <f t="shared" si="1"/>
        <v>164.3</v>
      </c>
      <c r="E50" s="135">
        <f t="shared" si="4"/>
        <v>421.5</v>
      </c>
      <c r="F50" s="133">
        <f t="shared" si="2"/>
        <v>585.8</v>
      </c>
      <c r="G50" s="135">
        <f t="shared" si="3"/>
        <v>16012.9</v>
      </c>
    </row>
    <row r="51" ht="14.25" customHeight="1">
      <c r="A51" s="131">
        <v>47.0</v>
      </c>
      <c r="B51" s="132">
        <v>47237.0</v>
      </c>
      <c r="C51" s="146"/>
      <c r="D51" s="135">
        <f t="shared" si="1"/>
        <v>160.1</v>
      </c>
      <c r="E51" s="135">
        <f t="shared" si="4"/>
        <v>421.5</v>
      </c>
      <c r="F51" s="133">
        <f t="shared" si="2"/>
        <v>581.6</v>
      </c>
      <c r="G51" s="135">
        <f t="shared" si="3"/>
        <v>15591.4</v>
      </c>
    </row>
    <row r="52" ht="14.25" customHeight="1">
      <c r="A52" s="131">
        <v>48.0</v>
      </c>
      <c r="B52" s="132">
        <v>47267.0</v>
      </c>
      <c r="C52" s="146"/>
      <c r="D52" s="135">
        <f t="shared" si="1"/>
        <v>155.9</v>
      </c>
      <c r="E52" s="135">
        <f t="shared" si="4"/>
        <v>421.5</v>
      </c>
      <c r="F52" s="133">
        <f t="shared" si="2"/>
        <v>577.4</v>
      </c>
      <c r="G52" s="135">
        <f t="shared" si="3"/>
        <v>15169.9</v>
      </c>
    </row>
    <row r="53" ht="14.25" customHeight="1">
      <c r="A53" s="131">
        <v>49.0</v>
      </c>
      <c r="B53" s="132">
        <v>47298.0</v>
      </c>
      <c r="C53" s="146"/>
      <c r="D53" s="135">
        <f t="shared" si="1"/>
        <v>151.7</v>
      </c>
      <c r="E53" s="135">
        <f t="shared" si="4"/>
        <v>421.5</v>
      </c>
      <c r="F53" s="133">
        <f t="shared" si="2"/>
        <v>573.2</v>
      </c>
      <c r="G53" s="135">
        <f t="shared" si="3"/>
        <v>14748.4</v>
      </c>
    </row>
    <row r="54" ht="14.25" customHeight="1">
      <c r="A54" s="131">
        <v>50.0</v>
      </c>
      <c r="B54" s="132">
        <v>47328.0</v>
      </c>
      <c r="C54" s="146"/>
      <c r="D54" s="135">
        <f t="shared" si="1"/>
        <v>147.5</v>
      </c>
      <c r="E54" s="135">
        <f t="shared" si="4"/>
        <v>421.5</v>
      </c>
      <c r="F54" s="133">
        <f t="shared" si="2"/>
        <v>569</v>
      </c>
      <c r="G54" s="135">
        <f t="shared" si="3"/>
        <v>14326.9</v>
      </c>
    </row>
    <row r="55" ht="14.25" customHeight="1">
      <c r="A55" s="131">
        <v>51.0</v>
      </c>
      <c r="B55" s="132">
        <v>47359.0</v>
      </c>
      <c r="C55" s="146"/>
      <c r="D55" s="135">
        <f t="shared" si="1"/>
        <v>143.3</v>
      </c>
      <c r="E55" s="135">
        <f t="shared" si="4"/>
        <v>421.5</v>
      </c>
      <c r="F55" s="133">
        <f t="shared" si="2"/>
        <v>564.8</v>
      </c>
      <c r="G55" s="135">
        <f t="shared" si="3"/>
        <v>13905.4</v>
      </c>
    </row>
    <row r="56" ht="14.25" customHeight="1">
      <c r="A56" s="131">
        <v>52.0</v>
      </c>
      <c r="B56" s="132">
        <v>47390.0</v>
      </c>
      <c r="C56" s="146"/>
      <c r="D56" s="135">
        <f t="shared" si="1"/>
        <v>139.1</v>
      </c>
      <c r="E56" s="135">
        <f t="shared" si="4"/>
        <v>421.5</v>
      </c>
      <c r="F56" s="133">
        <f t="shared" si="2"/>
        <v>560.6</v>
      </c>
      <c r="G56" s="135">
        <f t="shared" si="3"/>
        <v>13483.9</v>
      </c>
    </row>
    <row r="57" ht="14.25" customHeight="1">
      <c r="A57" s="131">
        <v>53.0</v>
      </c>
      <c r="B57" s="132">
        <v>47420.0</v>
      </c>
      <c r="C57" s="146"/>
      <c r="D57" s="135">
        <f t="shared" si="1"/>
        <v>134.8</v>
      </c>
      <c r="E57" s="135">
        <f t="shared" si="4"/>
        <v>421.5</v>
      </c>
      <c r="F57" s="133">
        <f t="shared" si="2"/>
        <v>556.3</v>
      </c>
      <c r="G57" s="135">
        <f t="shared" si="3"/>
        <v>13062.4</v>
      </c>
    </row>
    <row r="58" ht="14.25" customHeight="1">
      <c r="A58" s="131">
        <v>54.0</v>
      </c>
      <c r="B58" s="132">
        <v>47451.0</v>
      </c>
      <c r="C58" s="146"/>
      <c r="D58" s="135">
        <f t="shared" si="1"/>
        <v>130.6</v>
      </c>
      <c r="E58" s="135">
        <f t="shared" si="4"/>
        <v>421.5</v>
      </c>
      <c r="F58" s="133">
        <f t="shared" si="2"/>
        <v>552.1</v>
      </c>
      <c r="G58" s="135">
        <f t="shared" si="3"/>
        <v>12640.9</v>
      </c>
    </row>
    <row r="59" ht="14.25" customHeight="1">
      <c r="A59" s="131">
        <v>55.0</v>
      </c>
      <c r="B59" s="132">
        <v>47481.0</v>
      </c>
      <c r="C59" s="146"/>
      <c r="D59" s="135">
        <f t="shared" si="1"/>
        <v>126.4</v>
      </c>
      <c r="E59" s="135">
        <f t="shared" si="4"/>
        <v>421.5</v>
      </c>
      <c r="F59" s="133">
        <f t="shared" si="2"/>
        <v>547.9</v>
      </c>
      <c r="G59" s="135">
        <f t="shared" si="3"/>
        <v>12219.4</v>
      </c>
    </row>
    <row r="60" ht="14.25" customHeight="1">
      <c r="A60" s="131">
        <v>56.0</v>
      </c>
      <c r="B60" s="132">
        <v>47512.0</v>
      </c>
      <c r="C60" s="146"/>
      <c r="D60" s="135">
        <f t="shared" si="1"/>
        <v>122.2</v>
      </c>
      <c r="E60" s="135">
        <f t="shared" si="4"/>
        <v>421.5</v>
      </c>
      <c r="F60" s="133">
        <f t="shared" si="2"/>
        <v>543.7</v>
      </c>
      <c r="G60" s="135">
        <f t="shared" si="3"/>
        <v>11797.9</v>
      </c>
    </row>
    <row r="61" ht="14.25" customHeight="1">
      <c r="A61" s="131">
        <v>57.0</v>
      </c>
      <c r="B61" s="132">
        <v>47542.0</v>
      </c>
      <c r="C61" s="146"/>
      <c r="D61" s="135">
        <f t="shared" si="1"/>
        <v>118</v>
      </c>
      <c r="E61" s="135">
        <f t="shared" si="4"/>
        <v>421.5</v>
      </c>
      <c r="F61" s="133">
        <f t="shared" si="2"/>
        <v>539.5</v>
      </c>
      <c r="G61" s="135">
        <f t="shared" si="3"/>
        <v>11376.4</v>
      </c>
    </row>
    <row r="62" ht="14.25" customHeight="1">
      <c r="A62" s="131">
        <v>58.0</v>
      </c>
      <c r="B62" s="132">
        <v>47571.0</v>
      </c>
      <c r="C62" s="146"/>
      <c r="D62" s="135">
        <f t="shared" si="1"/>
        <v>113.8</v>
      </c>
      <c r="E62" s="135">
        <f t="shared" si="4"/>
        <v>421.5</v>
      </c>
      <c r="F62" s="133">
        <f t="shared" si="2"/>
        <v>535.3</v>
      </c>
      <c r="G62" s="135">
        <f t="shared" si="3"/>
        <v>10954.9</v>
      </c>
    </row>
    <row r="63" ht="14.25" customHeight="1">
      <c r="A63" s="131">
        <v>59.0</v>
      </c>
      <c r="B63" s="132">
        <v>47602.0</v>
      </c>
      <c r="C63" s="146"/>
      <c r="D63" s="135">
        <f t="shared" si="1"/>
        <v>109.5</v>
      </c>
      <c r="E63" s="135">
        <f t="shared" si="4"/>
        <v>421.5</v>
      </c>
      <c r="F63" s="133">
        <f t="shared" si="2"/>
        <v>531</v>
      </c>
      <c r="G63" s="135">
        <f t="shared" si="3"/>
        <v>10533.4</v>
      </c>
    </row>
    <row r="64" ht="14.25" customHeight="1">
      <c r="A64" s="131">
        <v>60.0</v>
      </c>
      <c r="B64" s="132">
        <v>47632.0</v>
      </c>
      <c r="C64" s="146"/>
      <c r="D64" s="135">
        <f t="shared" si="1"/>
        <v>105.3</v>
      </c>
      <c r="E64" s="135">
        <f t="shared" si="4"/>
        <v>421.5</v>
      </c>
      <c r="F64" s="133">
        <f t="shared" si="2"/>
        <v>526.8</v>
      </c>
      <c r="G64" s="135">
        <f t="shared" si="3"/>
        <v>10111.9</v>
      </c>
    </row>
    <row r="65" ht="14.25" customHeight="1">
      <c r="A65" s="131">
        <v>61.0</v>
      </c>
      <c r="B65" s="132">
        <v>47663.0</v>
      </c>
      <c r="C65" s="146"/>
      <c r="D65" s="135">
        <f t="shared" si="1"/>
        <v>101.1</v>
      </c>
      <c r="E65" s="135">
        <f t="shared" si="4"/>
        <v>421.5</v>
      </c>
      <c r="F65" s="133">
        <f t="shared" si="2"/>
        <v>522.6</v>
      </c>
      <c r="G65" s="135">
        <f t="shared" si="3"/>
        <v>9690.4</v>
      </c>
    </row>
    <row r="66" ht="14.25" customHeight="1">
      <c r="A66" s="131">
        <v>62.0</v>
      </c>
      <c r="B66" s="132">
        <v>47693.0</v>
      </c>
      <c r="C66" s="146"/>
      <c r="D66" s="135">
        <f t="shared" si="1"/>
        <v>96.9</v>
      </c>
      <c r="E66" s="135">
        <f t="shared" si="4"/>
        <v>421.5</v>
      </c>
      <c r="F66" s="133">
        <f t="shared" si="2"/>
        <v>518.4</v>
      </c>
      <c r="G66" s="135">
        <f t="shared" si="3"/>
        <v>9268.9</v>
      </c>
    </row>
    <row r="67" ht="14.25" customHeight="1">
      <c r="A67" s="131">
        <v>63.0</v>
      </c>
      <c r="B67" s="132">
        <v>47724.0</v>
      </c>
      <c r="C67" s="146"/>
      <c r="D67" s="135">
        <f t="shared" si="1"/>
        <v>92.7</v>
      </c>
      <c r="E67" s="135">
        <f t="shared" si="4"/>
        <v>421.5</v>
      </c>
      <c r="F67" s="133">
        <f t="shared" si="2"/>
        <v>514.2</v>
      </c>
      <c r="G67" s="135">
        <f t="shared" si="3"/>
        <v>8847.4</v>
      </c>
    </row>
    <row r="68" ht="14.25" customHeight="1">
      <c r="A68" s="131">
        <v>64.0</v>
      </c>
      <c r="B68" s="132">
        <v>47755.0</v>
      </c>
      <c r="C68" s="146"/>
      <c r="D68" s="135">
        <f t="shared" si="1"/>
        <v>88.5</v>
      </c>
      <c r="E68" s="135">
        <f t="shared" si="4"/>
        <v>421.5</v>
      </c>
      <c r="F68" s="133">
        <f t="shared" si="2"/>
        <v>510</v>
      </c>
      <c r="G68" s="135">
        <f t="shared" si="3"/>
        <v>8425.9</v>
      </c>
    </row>
    <row r="69" ht="14.25" customHeight="1">
      <c r="A69" s="131">
        <v>65.0</v>
      </c>
      <c r="B69" s="132">
        <v>47785.0</v>
      </c>
      <c r="C69" s="146"/>
      <c r="D69" s="135">
        <f t="shared" si="1"/>
        <v>84.3</v>
      </c>
      <c r="E69" s="135">
        <f t="shared" si="4"/>
        <v>421.5</v>
      </c>
      <c r="F69" s="133">
        <f t="shared" si="2"/>
        <v>505.8</v>
      </c>
      <c r="G69" s="135">
        <f t="shared" si="3"/>
        <v>8004.4</v>
      </c>
    </row>
    <row r="70" ht="14.25" customHeight="1">
      <c r="A70" s="131">
        <v>66.0</v>
      </c>
      <c r="B70" s="132">
        <v>47816.0</v>
      </c>
      <c r="C70" s="146"/>
      <c r="D70" s="135">
        <f t="shared" si="1"/>
        <v>80</v>
      </c>
      <c r="E70" s="135">
        <f t="shared" si="4"/>
        <v>421.5</v>
      </c>
      <c r="F70" s="133">
        <f t="shared" si="2"/>
        <v>501.5</v>
      </c>
      <c r="G70" s="135">
        <f t="shared" si="3"/>
        <v>7582.9</v>
      </c>
    </row>
    <row r="71" ht="14.25" customHeight="1">
      <c r="A71" s="131">
        <v>67.0</v>
      </c>
      <c r="B71" s="132">
        <v>47846.0</v>
      </c>
      <c r="C71" s="146"/>
      <c r="D71" s="135">
        <f t="shared" si="1"/>
        <v>75.8</v>
      </c>
      <c r="E71" s="135">
        <f t="shared" si="4"/>
        <v>421.5</v>
      </c>
      <c r="F71" s="133">
        <f t="shared" si="2"/>
        <v>497.3</v>
      </c>
      <c r="G71" s="135">
        <f t="shared" si="3"/>
        <v>7161.4</v>
      </c>
    </row>
    <row r="72" ht="14.25" customHeight="1">
      <c r="A72" s="131">
        <v>68.0</v>
      </c>
      <c r="B72" s="132">
        <v>47877.0</v>
      </c>
      <c r="C72" s="146"/>
      <c r="D72" s="135">
        <f t="shared" si="1"/>
        <v>71.6</v>
      </c>
      <c r="E72" s="135">
        <f t="shared" si="4"/>
        <v>421.5</v>
      </c>
      <c r="F72" s="133">
        <f t="shared" si="2"/>
        <v>493.1</v>
      </c>
      <c r="G72" s="135">
        <f t="shared" si="3"/>
        <v>6739.9</v>
      </c>
    </row>
    <row r="73" ht="14.25" customHeight="1">
      <c r="A73" s="131">
        <v>69.0</v>
      </c>
      <c r="B73" s="132">
        <v>47907.0</v>
      </c>
      <c r="C73" s="146"/>
      <c r="D73" s="135">
        <f t="shared" si="1"/>
        <v>67.4</v>
      </c>
      <c r="E73" s="135">
        <f t="shared" si="4"/>
        <v>421.5</v>
      </c>
      <c r="F73" s="133">
        <f t="shared" si="2"/>
        <v>488.9</v>
      </c>
      <c r="G73" s="135">
        <f t="shared" si="3"/>
        <v>6318.4</v>
      </c>
    </row>
    <row r="74" ht="14.25" customHeight="1">
      <c r="A74" s="131">
        <v>70.0</v>
      </c>
      <c r="B74" s="132">
        <v>47936.0</v>
      </c>
      <c r="C74" s="146"/>
      <c r="D74" s="135">
        <f t="shared" si="1"/>
        <v>63.2</v>
      </c>
      <c r="E74" s="135">
        <f t="shared" si="4"/>
        <v>421.5</v>
      </c>
      <c r="F74" s="133">
        <f t="shared" si="2"/>
        <v>484.7</v>
      </c>
      <c r="G74" s="135">
        <f t="shared" si="3"/>
        <v>5896.9</v>
      </c>
    </row>
    <row r="75" ht="14.25" customHeight="1">
      <c r="A75" s="131">
        <v>71.0</v>
      </c>
      <c r="B75" s="132">
        <v>47967.0</v>
      </c>
      <c r="C75" s="146"/>
      <c r="D75" s="135">
        <f t="shared" si="1"/>
        <v>59</v>
      </c>
      <c r="E75" s="135">
        <f t="shared" si="4"/>
        <v>421.5</v>
      </c>
      <c r="F75" s="133">
        <f t="shared" si="2"/>
        <v>480.5</v>
      </c>
      <c r="G75" s="135">
        <f t="shared" si="3"/>
        <v>5475.4</v>
      </c>
    </row>
    <row r="76" ht="14.25" customHeight="1">
      <c r="A76" s="131">
        <v>72.0</v>
      </c>
      <c r="B76" s="132">
        <v>47997.0</v>
      </c>
      <c r="C76" s="146"/>
      <c r="D76" s="135">
        <f t="shared" si="1"/>
        <v>54.8</v>
      </c>
      <c r="E76" s="135">
        <f t="shared" si="4"/>
        <v>421.5</v>
      </c>
      <c r="F76" s="133">
        <f t="shared" si="2"/>
        <v>476.3</v>
      </c>
      <c r="G76" s="135">
        <f t="shared" si="3"/>
        <v>5053.9</v>
      </c>
    </row>
    <row r="77" ht="14.25" customHeight="1">
      <c r="A77" s="131">
        <v>73.0</v>
      </c>
      <c r="B77" s="132">
        <v>48028.0</v>
      </c>
      <c r="C77" s="146"/>
      <c r="D77" s="135">
        <f t="shared" si="1"/>
        <v>50.5</v>
      </c>
      <c r="E77" s="135">
        <f t="shared" si="4"/>
        <v>421.5</v>
      </c>
      <c r="F77" s="133">
        <f t="shared" si="2"/>
        <v>472</v>
      </c>
      <c r="G77" s="135">
        <f t="shared" si="3"/>
        <v>4632.4</v>
      </c>
    </row>
    <row r="78" ht="14.25" customHeight="1">
      <c r="A78" s="131">
        <v>74.0</v>
      </c>
      <c r="B78" s="132">
        <v>48058.0</v>
      </c>
      <c r="C78" s="146"/>
      <c r="D78" s="135">
        <f t="shared" si="1"/>
        <v>46.3</v>
      </c>
      <c r="E78" s="135">
        <f t="shared" si="4"/>
        <v>421.5</v>
      </c>
      <c r="F78" s="133">
        <f t="shared" si="2"/>
        <v>467.8</v>
      </c>
      <c r="G78" s="135">
        <f t="shared" si="3"/>
        <v>4210.9</v>
      </c>
    </row>
    <row r="79" ht="14.25" customHeight="1">
      <c r="A79" s="131">
        <v>75.0</v>
      </c>
      <c r="B79" s="132">
        <v>48089.0</v>
      </c>
      <c r="C79" s="146"/>
      <c r="D79" s="135">
        <f t="shared" si="1"/>
        <v>42.1</v>
      </c>
      <c r="E79" s="135">
        <f t="shared" si="4"/>
        <v>421.5</v>
      </c>
      <c r="F79" s="133">
        <f t="shared" si="2"/>
        <v>463.6</v>
      </c>
      <c r="G79" s="135">
        <f t="shared" si="3"/>
        <v>3789.4</v>
      </c>
    </row>
    <row r="80" ht="14.25" customHeight="1">
      <c r="A80" s="131">
        <v>76.0</v>
      </c>
      <c r="B80" s="132">
        <v>48120.0</v>
      </c>
      <c r="C80" s="146"/>
      <c r="D80" s="135">
        <f t="shared" si="1"/>
        <v>37.9</v>
      </c>
      <c r="E80" s="135">
        <f t="shared" si="4"/>
        <v>421.5</v>
      </c>
      <c r="F80" s="133">
        <f t="shared" si="2"/>
        <v>459.4</v>
      </c>
      <c r="G80" s="135">
        <f t="shared" si="3"/>
        <v>3367.9</v>
      </c>
    </row>
    <row r="81" ht="14.25" customHeight="1">
      <c r="A81" s="131">
        <v>77.0</v>
      </c>
      <c r="B81" s="132">
        <v>48150.0</v>
      </c>
      <c r="C81" s="146"/>
      <c r="D81" s="135">
        <f t="shared" si="1"/>
        <v>33.7</v>
      </c>
      <c r="E81" s="135">
        <f t="shared" si="4"/>
        <v>421.5</v>
      </c>
      <c r="F81" s="133">
        <f t="shared" si="2"/>
        <v>455.2</v>
      </c>
      <c r="G81" s="135">
        <f t="shared" si="3"/>
        <v>2946.4</v>
      </c>
    </row>
    <row r="82" ht="14.25" customHeight="1">
      <c r="A82" s="131">
        <v>78.0</v>
      </c>
      <c r="B82" s="132">
        <v>48181.0</v>
      </c>
      <c r="C82" s="146"/>
      <c r="D82" s="135">
        <f t="shared" si="1"/>
        <v>29.5</v>
      </c>
      <c r="E82" s="135">
        <f t="shared" si="4"/>
        <v>421.5</v>
      </c>
      <c r="F82" s="133">
        <f t="shared" si="2"/>
        <v>451</v>
      </c>
      <c r="G82" s="135">
        <f t="shared" si="3"/>
        <v>2524.9</v>
      </c>
    </row>
    <row r="83" ht="14.25" customHeight="1">
      <c r="A83" s="131">
        <v>79.0</v>
      </c>
      <c r="B83" s="132">
        <v>48211.0</v>
      </c>
      <c r="C83" s="146"/>
      <c r="D83" s="135">
        <f t="shared" si="1"/>
        <v>25.2</v>
      </c>
      <c r="E83" s="135">
        <f t="shared" si="4"/>
        <v>421.5</v>
      </c>
      <c r="F83" s="133">
        <f t="shared" si="2"/>
        <v>446.7</v>
      </c>
      <c r="G83" s="135">
        <f t="shared" si="3"/>
        <v>2103.4</v>
      </c>
    </row>
    <row r="84" ht="14.25" customHeight="1">
      <c r="A84" s="131">
        <v>80.0</v>
      </c>
      <c r="B84" s="132">
        <v>48242.0</v>
      </c>
      <c r="C84" s="146"/>
      <c r="D84" s="135">
        <f t="shared" si="1"/>
        <v>21</v>
      </c>
      <c r="E84" s="135">
        <f t="shared" si="4"/>
        <v>421.5</v>
      </c>
      <c r="F84" s="133">
        <f t="shared" si="2"/>
        <v>442.5</v>
      </c>
      <c r="G84" s="135">
        <f t="shared" si="3"/>
        <v>1681.9</v>
      </c>
    </row>
    <row r="85" ht="14.25" customHeight="1">
      <c r="A85" s="131">
        <v>81.0</v>
      </c>
      <c r="B85" s="132">
        <v>48273.0</v>
      </c>
      <c r="C85" s="146"/>
      <c r="D85" s="135">
        <f t="shared" si="1"/>
        <v>16.8</v>
      </c>
      <c r="E85" s="135">
        <f t="shared" si="4"/>
        <v>421.5</v>
      </c>
      <c r="F85" s="133">
        <f t="shared" si="2"/>
        <v>438.3</v>
      </c>
      <c r="G85" s="135">
        <f t="shared" si="3"/>
        <v>1260.4</v>
      </c>
    </row>
    <row r="86" ht="14.25" customHeight="1">
      <c r="A86" s="131">
        <v>82.0</v>
      </c>
      <c r="B86" s="132">
        <v>48302.0</v>
      </c>
      <c r="C86" s="146"/>
      <c r="D86" s="135">
        <f t="shared" si="1"/>
        <v>12.6</v>
      </c>
      <c r="E86" s="135">
        <f t="shared" si="4"/>
        <v>421.5</v>
      </c>
      <c r="F86" s="133">
        <f t="shared" si="2"/>
        <v>434.1</v>
      </c>
      <c r="G86" s="135">
        <f t="shared" si="3"/>
        <v>838.9</v>
      </c>
    </row>
    <row r="87" ht="14.25" customHeight="1">
      <c r="A87" s="131">
        <v>83.0</v>
      </c>
      <c r="B87" s="132">
        <v>48333.0</v>
      </c>
      <c r="C87" s="146"/>
      <c r="D87" s="135">
        <f t="shared" si="1"/>
        <v>8.4</v>
      </c>
      <c r="E87" s="135">
        <f t="shared" si="4"/>
        <v>421.5</v>
      </c>
      <c r="F87" s="133">
        <f t="shared" si="2"/>
        <v>429.9</v>
      </c>
      <c r="G87" s="135">
        <f t="shared" si="3"/>
        <v>417.4</v>
      </c>
    </row>
    <row r="88" ht="14.25" customHeight="1">
      <c r="A88" s="131">
        <v>84.0</v>
      </c>
      <c r="B88" s="132">
        <v>48363.0</v>
      </c>
      <c r="C88" s="146"/>
      <c r="D88" s="135">
        <f t="shared" si="1"/>
        <v>4.2</v>
      </c>
      <c r="E88" s="135">
        <f>ROUNDUP($C$4/84,1)-4.1</f>
        <v>417.4</v>
      </c>
      <c r="F88" s="133">
        <f t="shared" si="2"/>
        <v>421.6</v>
      </c>
      <c r="G88" s="135">
        <f t="shared" si="3"/>
        <v>0</v>
      </c>
    </row>
    <row r="89" ht="14.25" customHeight="1">
      <c r="A89" s="129" t="s">
        <v>252</v>
      </c>
      <c r="B89" s="2"/>
      <c r="C89" s="3"/>
      <c r="D89" s="147">
        <f t="shared" ref="D89:F89" si="5">+SUM(D5:D88)</f>
        <v>15044</v>
      </c>
      <c r="E89" s="147">
        <f t="shared" si="5"/>
        <v>35401.9</v>
      </c>
      <c r="F89" s="147">
        <f t="shared" si="5"/>
        <v>50445.9</v>
      </c>
      <c r="G89" s="148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341</v>
      </c>
      <c r="B1" s="2"/>
      <c r="C1" s="2"/>
      <c r="D1" s="2"/>
      <c r="E1" s="2"/>
      <c r="F1" s="2"/>
      <c r="G1" s="3"/>
    </row>
    <row r="2" ht="14.25" customHeight="1">
      <c r="A2" s="129" t="s">
        <v>342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45867.0</v>
      </c>
      <c r="C4" s="133">
        <f>+J7</f>
        <v>25395.8</v>
      </c>
      <c r="D4" s="134">
        <v>0.01</v>
      </c>
      <c r="E4" s="135"/>
      <c r="F4" s="135"/>
      <c r="G4" s="135">
        <f>+C4</f>
        <v>25395.8</v>
      </c>
    </row>
    <row r="5" ht="14.25" customHeight="1">
      <c r="A5" s="136">
        <v>1.0</v>
      </c>
      <c r="B5" s="137">
        <v>45898.0</v>
      </c>
      <c r="C5" s="138"/>
      <c r="D5" s="138">
        <f t="shared" ref="D5:D88" si="1">+ROUND(G4*0.01,1)</f>
        <v>254</v>
      </c>
      <c r="E5" s="138">
        <f>ROUNDDOWN(C4/84,1)</f>
        <v>302.3</v>
      </c>
      <c r="F5" s="139">
        <f t="shared" ref="F5:F88" si="2">+ROUND(D5+E5,1)</f>
        <v>556.3</v>
      </c>
      <c r="G5" s="138">
        <f t="shared" ref="G5:G88" si="3">+ROUND(G4-E5,1)</f>
        <v>25093.5</v>
      </c>
      <c r="I5" s="140" t="s">
        <v>209</v>
      </c>
      <c r="J5" s="141">
        <v>26995.8</v>
      </c>
    </row>
    <row r="6" ht="14.25" customHeight="1">
      <c r="A6" s="136">
        <v>2.0</v>
      </c>
      <c r="B6" s="137">
        <v>45929.0</v>
      </c>
      <c r="C6" s="144"/>
      <c r="D6" s="138">
        <f t="shared" si="1"/>
        <v>250.9</v>
      </c>
      <c r="E6" s="138">
        <f t="shared" ref="E6:E87" si="4">ROUNDDOWN($C$4/84,1)</f>
        <v>302.3</v>
      </c>
      <c r="F6" s="139">
        <f t="shared" si="2"/>
        <v>553.2</v>
      </c>
      <c r="G6" s="138">
        <f t="shared" si="3"/>
        <v>24791.2</v>
      </c>
      <c r="I6" s="140" t="s">
        <v>343</v>
      </c>
      <c r="J6" s="141">
        <v>-1600.0</v>
      </c>
    </row>
    <row r="7" ht="14.25" customHeight="1">
      <c r="A7" s="136">
        <v>3.0</v>
      </c>
      <c r="B7" s="137">
        <v>45959.0</v>
      </c>
      <c r="C7" s="145"/>
      <c r="D7" s="138">
        <f t="shared" si="1"/>
        <v>247.9</v>
      </c>
      <c r="E7" s="138">
        <f t="shared" si="4"/>
        <v>302.3</v>
      </c>
      <c r="F7" s="139">
        <f t="shared" si="2"/>
        <v>550.2</v>
      </c>
      <c r="G7" s="138">
        <f t="shared" si="3"/>
        <v>24488.9</v>
      </c>
      <c r="I7" s="142" t="s">
        <v>252</v>
      </c>
      <c r="J7" s="143">
        <f>+SUM(J5:J6)</f>
        <v>25395.8</v>
      </c>
    </row>
    <row r="8" ht="14.25" customHeight="1">
      <c r="A8" s="136">
        <v>4.0</v>
      </c>
      <c r="B8" s="137">
        <v>45990.0</v>
      </c>
      <c r="C8" s="145"/>
      <c r="D8" s="138">
        <f t="shared" si="1"/>
        <v>244.9</v>
      </c>
      <c r="E8" s="138">
        <f t="shared" si="4"/>
        <v>302.3</v>
      </c>
      <c r="F8" s="139">
        <f t="shared" si="2"/>
        <v>547.2</v>
      </c>
      <c r="G8" s="138">
        <f t="shared" si="3"/>
        <v>24186.6</v>
      </c>
    </row>
    <row r="9" ht="14.25" customHeight="1">
      <c r="A9" s="136">
        <v>5.0</v>
      </c>
      <c r="B9" s="137">
        <v>46020.0</v>
      </c>
      <c r="C9" s="145"/>
      <c r="D9" s="138">
        <f t="shared" si="1"/>
        <v>241.9</v>
      </c>
      <c r="E9" s="138">
        <f t="shared" si="4"/>
        <v>302.3</v>
      </c>
      <c r="F9" s="139">
        <f t="shared" si="2"/>
        <v>544.2</v>
      </c>
      <c r="G9" s="138">
        <f t="shared" si="3"/>
        <v>23884.3</v>
      </c>
    </row>
    <row r="10" ht="14.25" customHeight="1">
      <c r="A10" s="131">
        <v>6.0</v>
      </c>
      <c r="B10" s="132">
        <v>46051.0</v>
      </c>
      <c r="C10" s="146"/>
      <c r="D10" s="135">
        <f t="shared" si="1"/>
        <v>238.8</v>
      </c>
      <c r="E10" s="135">
        <f t="shared" si="4"/>
        <v>302.3</v>
      </c>
      <c r="F10" s="133">
        <f t="shared" si="2"/>
        <v>541.1</v>
      </c>
      <c r="G10" s="135">
        <f t="shared" si="3"/>
        <v>23582</v>
      </c>
    </row>
    <row r="11" ht="14.25" customHeight="1">
      <c r="A11" s="131">
        <v>7.0</v>
      </c>
      <c r="B11" s="132">
        <v>46081.0</v>
      </c>
      <c r="C11" s="146"/>
      <c r="D11" s="135">
        <f t="shared" si="1"/>
        <v>235.8</v>
      </c>
      <c r="E11" s="135">
        <f t="shared" si="4"/>
        <v>302.3</v>
      </c>
      <c r="F11" s="133">
        <f t="shared" si="2"/>
        <v>538.1</v>
      </c>
      <c r="G11" s="135">
        <f t="shared" si="3"/>
        <v>23279.7</v>
      </c>
    </row>
    <row r="12" ht="14.25" customHeight="1">
      <c r="A12" s="131">
        <v>8.0</v>
      </c>
      <c r="B12" s="132">
        <v>46110.0</v>
      </c>
      <c r="C12" s="146"/>
      <c r="D12" s="135">
        <f t="shared" si="1"/>
        <v>232.8</v>
      </c>
      <c r="E12" s="135">
        <f t="shared" si="4"/>
        <v>302.3</v>
      </c>
      <c r="F12" s="133">
        <f t="shared" si="2"/>
        <v>535.1</v>
      </c>
      <c r="G12" s="135">
        <f t="shared" si="3"/>
        <v>22977.4</v>
      </c>
    </row>
    <row r="13" ht="14.25" customHeight="1">
      <c r="A13" s="131">
        <v>9.0</v>
      </c>
      <c r="B13" s="132">
        <v>46141.0</v>
      </c>
      <c r="C13" s="146"/>
      <c r="D13" s="135">
        <f t="shared" si="1"/>
        <v>229.8</v>
      </c>
      <c r="E13" s="135">
        <f t="shared" si="4"/>
        <v>302.3</v>
      </c>
      <c r="F13" s="133">
        <f t="shared" si="2"/>
        <v>532.1</v>
      </c>
      <c r="G13" s="135">
        <f t="shared" si="3"/>
        <v>22675.1</v>
      </c>
    </row>
    <row r="14" ht="14.25" customHeight="1">
      <c r="A14" s="131">
        <v>10.0</v>
      </c>
      <c r="B14" s="132">
        <v>46171.0</v>
      </c>
      <c r="C14" s="146"/>
      <c r="D14" s="135">
        <f t="shared" si="1"/>
        <v>226.8</v>
      </c>
      <c r="E14" s="135">
        <f t="shared" si="4"/>
        <v>302.3</v>
      </c>
      <c r="F14" s="133">
        <f t="shared" si="2"/>
        <v>529.1</v>
      </c>
      <c r="G14" s="135">
        <f t="shared" si="3"/>
        <v>22372.8</v>
      </c>
    </row>
    <row r="15" ht="14.25" customHeight="1">
      <c r="A15" s="131">
        <v>11.0</v>
      </c>
      <c r="B15" s="132">
        <v>46202.0</v>
      </c>
      <c r="C15" s="146"/>
      <c r="D15" s="135">
        <f t="shared" si="1"/>
        <v>223.7</v>
      </c>
      <c r="E15" s="135">
        <f t="shared" si="4"/>
        <v>302.3</v>
      </c>
      <c r="F15" s="133">
        <f t="shared" si="2"/>
        <v>526</v>
      </c>
      <c r="G15" s="135">
        <f t="shared" si="3"/>
        <v>22070.5</v>
      </c>
    </row>
    <row r="16" ht="14.25" customHeight="1">
      <c r="A16" s="131">
        <v>12.0</v>
      </c>
      <c r="B16" s="132">
        <v>46232.0</v>
      </c>
      <c r="C16" s="146"/>
      <c r="D16" s="135">
        <f t="shared" si="1"/>
        <v>220.7</v>
      </c>
      <c r="E16" s="135">
        <f t="shared" si="4"/>
        <v>302.3</v>
      </c>
      <c r="F16" s="133">
        <f t="shared" si="2"/>
        <v>523</v>
      </c>
      <c r="G16" s="135">
        <f t="shared" si="3"/>
        <v>21768.2</v>
      </c>
    </row>
    <row r="17" ht="14.25" customHeight="1">
      <c r="A17" s="131">
        <v>13.0</v>
      </c>
      <c r="B17" s="132">
        <v>46263.0</v>
      </c>
      <c r="C17" s="146"/>
      <c r="D17" s="135">
        <f t="shared" si="1"/>
        <v>217.7</v>
      </c>
      <c r="E17" s="135">
        <f t="shared" si="4"/>
        <v>302.3</v>
      </c>
      <c r="F17" s="133">
        <f t="shared" si="2"/>
        <v>520</v>
      </c>
      <c r="G17" s="135">
        <f t="shared" si="3"/>
        <v>21465.9</v>
      </c>
    </row>
    <row r="18" ht="14.25" customHeight="1">
      <c r="A18" s="131">
        <v>14.0</v>
      </c>
      <c r="B18" s="132">
        <v>46294.0</v>
      </c>
      <c r="C18" s="146"/>
      <c r="D18" s="135">
        <f t="shared" si="1"/>
        <v>214.7</v>
      </c>
      <c r="E18" s="135">
        <f t="shared" si="4"/>
        <v>302.3</v>
      </c>
      <c r="F18" s="133">
        <f t="shared" si="2"/>
        <v>517</v>
      </c>
      <c r="G18" s="135">
        <f t="shared" si="3"/>
        <v>21163.6</v>
      </c>
    </row>
    <row r="19" ht="14.25" customHeight="1">
      <c r="A19" s="131">
        <v>15.0</v>
      </c>
      <c r="B19" s="132">
        <v>46324.0</v>
      </c>
      <c r="C19" s="146"/>
      <c r="D19" s="135">
        <f t="shared" si="1"/>
        <v>211.6</v>
      </c>
      <c r="E19" s="135">
        <f t="shared" si="4"/>
        <v>302.3</v>
      </c>
      <c r="F19" s="133">
        <f t="shared" si="2"/>
        <v>513.9</v>
      </c>
      <c r="G19" s="135">
        <f t="shared" si="3"/>
        <v>20861.3</v>
      </c>
    </row>
    <row r="20" ht="14.25" customHeight="1">
      <c r="A20" s="131">
        <v>16.0</v>
      </c>
      <c r="B20" s="132">
        <v>46355.0</v>
      </c>
      <c r="C20" s="146"/>
      <c r="D20" s="135">
        <f t="shared" si="1"/>
        <v>208.6</v>
      </c>
      <c r="E20" s="135">
        <f t="shared" si="4"/>
        <v>302.3</v>
      </c>
      <c r="F20" s="133">
        <f t="shared" si="2"/>
        <v>510.9</v>
      </c>
      <c r="G20" s="135">
        <f t="shared" si="3"/>
        <v>20559</v>
      </c>
    </row>
    <row r="21" ht="14.25" customHeight="1">
      <c r="A21" s="131">
        <v>17.0</v>
      </c>
      <c r="B21" s="132">
        <v>46385.0</v>
      </c>
      <c r="C21" s="146"/>
      <c r="D21" s="135">
        <f t="shared" si="1"/>
        <v>205.6</v>
      </c>
      <c r="E21" s="135">
        <f t="shared" si="4"/>
        <v>302.3</v>
      </c>
      <c r="F21" s="133">
        <f t="shared" si="2"/>
        <v>507.9</v>
      </c>
      <c r="G21" s="135">
        <f t="shared" si="3"/>
        <v>20256.7</v>
      </c>
    </row>
    <row r="22" ht="14.25" customHeight="1">
      <c r="A22" s="131">
        <v>18.0</v>
      </c>
      <c r="B22" s="132">
        <v>46416.0</v>
      </c>
      <c r="C22" s="146"/>
      <c r="D22" s="135">
        <f t="shared" si="1"/>
        <v>202.6</v>
      </c>
      <c r="E22" s="135">
        <f t="shared" si="4"/>
        <v>302.3</v>
      </c>
      <c r="F22" s="133">
        <f t="shared" si="2"/>
        <v>504.9</v>
      </c>
      <c r="G22" s="135">
        <f t="shared" si="3"/>
        <v>19954.4</v>
      </c>
    </row>
    <row r="23" ht="14.25" customHeight="1">
      <c r="A23" s="131">
        <v>19.0</v>
      </c>
      <c r="B23" s="132">
        <v>46446.0</v>
      </c>
      <c r="C23" s="146"/>
      <c r="D23" s="135">
        <f t="shared" si="1"/>
        <v>199.5</v>
      </c>
      <c r="E23" s="135">
        <f t="shared" si="4"/>
        <v>302.3</v>
      </c>
      <c r="F23" s="133">
        <f t="shared" si="2"/>
        <v>501.8</v>
      </c>
      <c r="G23" s="135">
        <f t="shared" si="3"/>
        <v>19652.1</v>
      </c>
    </row>
    <row r="24" ht="14.25" customHeight="1">
      <c r="A24" s="131">
        <v>20.0</v>
      </c>
      <c r="B24" s="132">
        <v>46475.0</v>
      </c>
      <c r="C24" s="146"/>
      <c r="D24" s="135">
        <f t="shared" si="1"/>
        <v>196.5</v>
      </c>
      <c r="E24" s="135">
        <f t="shared" si="4"/>
        <v>302.3</v>
      </c>
      <c r="F24" s="133">
        <f t="shared" si="2"/>
        <v>498.8</v>
      </c>
      <c r="G24" s="135">
        <f t="shared" si="3"/>
        <v>19349.8</v>
      </c>
    </row>
    <row r="25" ht="14.25" customHeight="1">
      <c r="A25" s="131">
        <v>21.0</v>
      </c>
      <c r="B25" s="132">
        <v>46506.0</v>
      </c>
      <c r="C25" s="146"/>
      <c r="D25" s="135">
        <f t="shared" si="1"/>
        <v>193.5</v>
      </c>
      <c r="E25" s="135">
        <f t="shared" si="4"/>
        <v>302.3</v>
      </c>
      <c r="F25" s="133">
        <f t="shared" si="2"/>
        <v>495.8</v>
      </c>
      <c r="G25" s="135">
        <f t="shared" si="3"/>
        <v>19047.5</v>
      </c>
    </row>
    <row r="26" ht="14.25" customHeight="1">
      <c r="A26" s="131">
        <v>22.0</v>
      </c>
      <c r="B26" s="132">
        <v>46536.0</v>
      </c>
      <c r="C26" s="146"/>
      <c r="D26" s="135">
        <f t="shared" si="1"/>
        <v>190.5</v>
      </c>
      <c r="E26" s="135">
        <f t="shared" si="4"/>
        <v>302.3</v>
      </c>
      <c r="F26" s="133">
        <f t="shared" si="2"/>
        <v>492.8</v>
      </c>
      <c r="G26" s="135">
        <f t="shared" si="3"/>
        <v>18745.2</v>
      </c>
    </row>
    <row r="27" ht="14.25" customHeight="1">
      <c r="A27" s="131">
        <v>23.0</v>
      </c>
      <c r="B27" s="132">
        <v>46567.0</v>
      </c>
      <c r="C27" s="146"/>
      <c r="D27" s="135">
        <f t="shared" si="1"/>
        <v>187.5</v>
      </c>
      <c r="E27" s="135">
        <f t="shared" si="4"/>
        <v>302.3</v>
      </c>
      <c r="F27" s="133">
        <f t="shared" si="2"/>
        <v>489.8</v>
      </c>
      <c r="G27" s="135">
        <f t="shared" si="3"/>
        <v>18442.9</v>
      </c>
    </row>
    <row r="28" ht="14.25" customHeight="1">
      <c r="A28" s="131">
        <v>24.0</v>
      </c>
      <c r="B28" s="132">
        <v>46597.0</v>
      </c>
      <c r="C28" s="146"/>
      <c r="D28" s="135">
        <f t="shared" si="1"/>
        <v>184.4</v>
      </c>
      <c r="E28" s="135">
        <f t="shared" si="4"/>
        <v>302.3</v>
      </c>
      <c r="F28" s="133">
        <f t="shared" si="2"/>
        <v>486.7</v>
      </c>
      <c r="G28" s="135">
        <f t="shared" si="3"/>
        <v>18140.6</v>
      </c>
    </row>
    <row r="29" ht="14.25" customHeight="1">
      <c r="A29" s="131">
        <v>25.0</v>
      </c>
      <c r="B29" s="132">
        <v>46628.0</v>
      </c>
      <c r="C29" s="146"/>
      <c r="D29" s="135">
        <f t="shared" si="1"/>
        <v>181.4</v>
      </c>
      <c r="E29" s="135">
        <f t="shared" si="4"/>
        <v>302.3</v>
      </c>
      <c r="F29" s="133">
        <f t="shared" si="2"/>
        <v>483.7</v>
      </c>
      <c r="G29" s="135">
        <f t="shared" si="3"/>
        <v>17838.3</v>
      </c>
    </row>
    <row r="30" ht="14.25" customHeight="1">
      <c r="A30" s="131">
        <v>26.0</v>
      </c>
      <c r="B30" s="132">
        <v>46659.0</v>
      </c>
      <c r="C30" s="146"/>
      <c r="D30" s="135">
        <f t="shared" si="1"/>
        <v>178.4</v>
      </c>
      <c r="E30" s="135">
        <f t="shared" si="4"/>
        <v>302.3</v>
      </c>
      <c r="F30" s="133">
        <f t="shared" si="2"/>
        <v>480.7</v>
      </c>
      <c r="G30" s="135">
        <f t="shared" si="3"/>
        <v>17536</v>
      </c>
    </row>
    <row r="31" ht="14.25" customHeight="1">
      <c r="A31" s="131">
        <v>27.0</v>
      </c>
      <c r="B31" s="132">
        <v>46689.0</v>
      </c>
      <c r="C31" s="146"/>
      <c r="D31" s="135">
        <f t="shared" si="1"/>
        <v>175.4</v>
      </c>
      <c r="E31" s="135">
        <f t="shared" si="4"/>
        <v>302.3</v>
      </c>
      <c r="F31" s="133">
        <f t="shared" si="2"/>
        <v>477.7</v>
      </c>
      <c r="G31" s="135">
        <f t="shared" si="3"/>
        <v>17233.7</v>
      </c>
    </row>
    <row r="32" ht="14.25" customHeight="1">
      <c r="A32" s="131">
        <v>28.0</v>
      </c>
      <c r="B32" s="132">
        <v>46720.0</v>
      </c>
      <c r="C32" s="146"/>
      <c r="D32" s="135">
        <f t="shared" si="1"/>
        <v>172.3</v>
      </c>
      <c r="E32" s="135">
        <f t="shared" si="4"/>
        <v>302.3</v>
      </c>
      <c r="F32" s="133">
        <f t="shared" si="2"/>
        <v>474.6</v>
      </c>
      <c r="G32" s="135">
        <f t="shared" si="3"/>
        <v>16931.4</v>
      </c>
    </row>
    <row r="33" ht="14.25" customHeight="1">
      <c r="A33" s="131">
        <v>29.0</v>
      </c>
      <c r="B33" s="132">
        <v>46750.0</v>
      </c>
      <c r="C33" s="146"/>
      <c r="D33" s="135">
        <f t="shared" si="1"/>
        <v>169.3</v>
      </c>
      <c r="E33" s="135">
        <f t="shared" si="4"/>
        <v>302.3</v>
      </c>
      <c r="F33" s="133">
        <f t="shared" si="2"/>
        <v>471.6</v>
      </c>
      <c r="G33" s="135">
        <f t="shared" si="3"/>
        <v>16629.1</v>
      </c>
    </row>
    <row r="34" ht="14.25" customHeight="1">
      <c r="A34" s="131">
        <v>30.0</v>
      </c>
      <c r="B34" s="132">
        <v>46781.0</v>
      </c>
      <c r="C34" s="146"/>
      <c r="D34" s="135">
        <f t="shared" si="1"/>
        <v>166.3</v>
      </c>
      <c r="E34" s="135">
        <f t="shared" si="4"/>
        <v>302.3</v>
      </c>
      <c r="F34" s="133">
        <f t="shared" si="2"/>
        <v>468.6</v>
      </c>
      <c r="G34" s="135">
        <f t="shared" si="3"/>
        <v>16326.8</v>
      </c>
    </row>
    <row r="35" ht="14.25" customHeight="1">
      <c r="A35" s="131">
        <v>31.0</v>
      </c>
      <c r="B35" s="132">
        <v>46812.0</v>
      </c>
      <c r="C35" s="146"/>
      <c r="D35" s="135">
        <f t="shared" si="1"/>
        <v>163.3</v>
      </c>
      <c r="E35" s="135">
        <f t="shared" si="4"/>
        <v>302.3</v>
      </c>
      <c r="F35" s="133">
        <f t="shared" si="2"/>
        <v>465.6</v>
      </c>
      <c r="G35" s="135">
        <f t="shared" si="3"/>
        <v>16024.5</v>
      </c>
    </row>
    <row r="36" ht="14.25" customHeight="1">
      <c r="A36" s="131">
        <v>32.0</v>
      </c>
      <c r="B36" s="132">
        <v>46841.0</v>
      </c>
      <c r="C36" s="146"/>
      <c r="D36" s="135">
        <f t="shared" si="1"/>
        <v>160.2</v>
      </c>
      <c r="E36" s="135">
        <f t="shared" si="4"/>
        <v>302.3</v>
      </c>
      <c r="F36" s="133">
        <f t="shared" si="2"/>
        <v>462.5</v>
      </c>
      <c r="G36" s="135">
        <f t="shared" si="3"/>
        <v>15722.2</v>
      </c>
    </row>
    <row r="37" ht="14.25" customHeight="1">
      <c r="A37" s="131">
        <v>33.0</v>
      </c>
      <c r="B37" s="132">
        <v>46872.0</v>
      </c>
      <c r="C37" s="146"/>
      <c r="D37" s="135">
        <f t="shared" si="1"/>
        <v>157.2</v>
      </c>
      <c r="E37" s="135">
        <f t="shared" si="4"/>
        <v>302.3</v>
      </c>
      <c r="F37" s="133">
        <f t="shared" si="2"/>
        <v>459.5</v>
      </c>
      <c r="G37" s="135">
        <f t="shared" si="3"/>
        <v>15419.9</v>
      </c>
    </row>
    <row r="38" ht="14.25" customHeight="1">
      <c r="A38" s="131">
        <v>34.0</v>
      </c>
      <c r="B38" s="132">
        <v>46902.0</v>
      </c>
      <c r="C38" s="146"/>
      <c r="D38" s="135">
        <f t="shared" si="1"/>
        <v>154.2</v>
      </c>
      <c r="E38" s="135">
        <f t="shared" si="4"/>
        <v>302.3</v>
      </c>
      <c r="F38" s="133">
        <f t="shared" si="2"/>
        <v>456.5</v>
      </c>
      <c r="G38" s="135">
        <f t="shared" si="3"/>
        <v>15117.6</v>
      </c>
    </row>
    <row r="39" ht="14.25" customHeight="1">
      <c r="A39" s="131">
        <v>35.0</v>
      </c>
      <c r="B39" s="132">
        <v>46933.0</v>
      </c>
      <c r="C39" s="146"/>
      <c r="D39" s="135">
        <f t="shared" si="1"/>
        <v>151.2</v>
      </c>
      <c r="E39" s="135">
        <f t="shared" si="4"/>
        <v>302.3</v>
      </c>
      <c r="F39" s="133">
        <f t="shared" si="2"/>
        <v>453.5</v>
      </c>
      <c r="G39" s="135">
        <f t="shared" si="3"/>
        <v>14815.3</v>
      </c>
    </row>
    <row r="40" ht="14.25" customHeight="1">
      <c r="A40" s="131">
        <v>36.0</v>
      </c>
      <c r="B40" s="132">
        <v>46963.0</v>
      </c>
      <c r="C40" s="146"/>
      <c r="D40" s="135">
        <f t="shared" si="1"/>
        <v>148.2</v>
      </c>
      <c r="E40" s="135">
        <f t="shared" si="4"/>
        <v>302.3</v>
      </c>
      <c r="F40" s="133">
        <f t="shared" si="2"/>
        <v>450.5</v>
      </c>
      <c r="G40" s="135">
        <f t="shared" si="3"/>
        <v>14513</v>
      </c>
    </row>
    <row r="41" ht="14.25" customHeight="1">
      <c r="A41" s="131">
        <v>37.0</v>
      </c>
      <c r="B41" s="132">
        <v>46994.0</v>
      </c>
      <c r="C41" s="146"/>
      <c r="D41" s="135">
        <f t="shared" si="1"/>
        <v>145.1</v>
      </c>
      <c r="E41" s="135">
        <f t="shared" si="4"/>
        <v>302.3</v>
      </c>
      <c r="F41" s="133">
        <f t="shared" si="2"/>
        <v>447.4</v>
      </c>
      <c r="G41" s="135">
        <f t="shared" si="3"/>
        <v>14210.7</v>
      </c>
    </row>
    <row r="42" ht="14.25" customHeight="1">
      <c r="A42" s="131">
        <v>38.0</v>
      </c>
      <c r="B42" s="132">
        <v>47025.0</v>
      </c>
      <c r="C42" s="146"/>
      <c r="D42" s="135">
        <f t="shared" si="1"/>
        <v>142.1</v>
      </c>
      <c r="E42" s="135">
        <f t="shared" si="4"/>
        <v>302.3</v>
      </c>
      <c r="F42" s="133">
        <f t="shared" si="2"/>
        <v>444.4</v>
      </c>
      <c r="G42" s="135">
        <f t="shared" si="3"/>
        <v>13908.4</v>
      </c>
    </row>
    <row r="43" ht="14.25" customHeight="1">
      <c r="A43" s="131">
        <v>39.0</v>
      </c>
      <c r="B43" s="132">
        <v>47055.0</v>
      </c>
      <c r="C43" s="146"/>
      <c r="D43" s="135">
        <f t="shared" si="1"/>
        <v>139.1</v>
      </c>
      <c r="E43" s="135">
        <f t="shared" si="4"/>
        <v>302.3</v>
      </c>
      <c r="F43" s="133">
        <f t="shared" si="2"/>
        <v>441.4</v>
      </c>
      <c r="G43" s="135">
        <f t="shared" si="3"/>
        <v>13606.1</v>
      </c>
    </row>
    <row r="44" ht="14.25" customHeight="1">
      <c r="A44" s="131">
        <v>40.0</v>
      </c>
      <c r="B44" s="132">
        <v>47086.0</v>
      </c>
      <c r="C44" s="146"/>
      <c r="D44" s="135">
        <f t="shared" si="1"/>
        <v>136.1</v>
      </c>
      <c r="E44" s="135">
        <f t="shared" si="4"/>
        <v>302.3</v>
      </c>
      <c r="F44" s="133">
        <f t="shared" si="2"/>
        <v>438.4</v>
      </c>
      <c r="G44" s="135">
        <f t="shared" si="3"/>
        <v>13303.8</v>
      </c>
    </row>
    <row r="45" ht="14.25" customHeight="1">
      <c r="A45" s="131">
        <v>41.0</v>
      </c>
      <c r="B45" s="132">
        <v>47116.0</v>
      </c>
      <c r="C45" s="146"/>
      <c r="D45" s="135">
        <f t="shared" si="1"/>
        <v>133</v>
      </c>
      <c r="E45" s="135">
        <f t="shared" si="4"/>
        <v>302.3</v>
      </c>
      <c r="F45" s="133">
        <f t="shared" si="2"/>
        <v>435.3</v>
      </c>
      <c r="G45" s="135">
        <f t="shared" si="3"/>
        <v>13001.5</v>
      </c>
    </row>
    <row r="46" ht="14.25" customHeight="1">
      <c r="A46" s="131">
        <v>42.0</v>
      </c>
      <c r="B46" s="132">
        <v>47147.0</v>
      </c>
      <c r="C46" s="146"/>
      <c r="D46" s="135">
        <f t="shared" si="1"/>
        <v>130</v>
      </c>
      <c r="E46" s="135">
        <f t="shared" si="4"/>
        <v>302.3</v>
      </c>
      <c r="F46" s="133">
        <f t="shared" si="2"/>
        <v>432.3</v>
      </c>
      <c r="G46" s="135">
        <f t="shared" si="3"/>
        <v>12699.2</v>
      </c>
    </row>
    <row r="47" ht="14.25" customHeight="1">
      <c r="A47" s="131">
        <v>43.0</v>
      </c>
      <c r="B47" s="132">
        <v>47177.0</v>
      </c>
      <c r="C47" s="146"/>
      <c r="D47" s="135">
        <f t="shared" si="1"/>
        <v>127</v>
      </c>
      <c r="E47" s="135">
        <f t="shared" si="4"/>
        <v>302.3</v>
      </c>
      <c r="F47" s="133">
        <f t="shared" si="2"/>
        <v>429.3</v>
      </c>
      <c r="G47" s="135">
        <f t="shared" si="3"/>
        <v>12396.9</v>
      </c>
    </row>
    <row r="48" ht="14.25" customHeight="1">
      <c r="A48" s="131">
        <v>44.0</v>
      </c>
      <c r="B48" s="132">
        <v>47206.0</v>
      </c>
      <c r="C48" s="146"/>
      <c r="D48" s="135">
        <f t="shared" si="1"/>
        <v>124</v>
      </c>
      <c r="E48" s="135">
        <f t="shared" si="4"/>
        <v>302.3</v>
      </c>
      <c r="F48" s="133">
        <f t="shared" si="2"/>
        <v>426.3</v>
      </c>
      <c r="G48" s="135">
        <f t="shared" si="3"/>
        <v>12094.6</v>
      </c>
    </row>
    <row r="49" ht="14.25" customHeight="1">
      <c r="A49" s="131">
        <v>45.0</v>
      </c>
      <c r="B49" s="132">
        <v>47237.0</v>
      </c>
      <c r="C49" s="146"/>
      <c r="D49" s="135">
        <f t="shared" si="1"/>
        <v>120.9</v>
      </c>
      <c r="E49" s="135">
        <f t="shared" si="4"/>
        <v>302.3</v>
      </c>
      <c r="F49" s="133">
        <f t="shared" si="2"/>
        <v>423.2</v>
      </c>
      <c r="G49" s="135">
        <f t="shared" si="3"/>
        <v>11792.3</v>
      </c>
    </row>
    <row r="50" ht="14.25" customHeight="1">
      <c r="A50" s="131">
        <v>46.0</v>
      </c>
      <c r="B50" s="132">
        <v>47267.0</v>
      </c>
      <c r="C50" s="146"/>
      <c r="D50" s="135">
        <f t="shared" si="1"/>
        <v>117.9</v>
      </c>
      <c r="E50" s="135">
        <f t="shared" si="4"/>
        <v>302.3</v>
      </c>
      <c r="F50" s="133">
        <f t="shared" si="2"/>
        <v>420.2</v>
      </c>
      <c r="G50" s="135">
        <f t="shared" si="3"/>
        <v>11490</v>
      </c>
    </row>
    <row r="51" ht="14.25" customHeight="1">
      <c r="A51" s="131">
        <v>47.0</v>
      </c>
      <c r="B51" s="132">
        <v>47298.0</v>
      </c>
      <c r="C51" s="146"/>
      <c r="D51" s="135">
        <f t="shared" si="1"/>
        <v>114.9</v>
      </c>
      <c r="E51" s="135">
        <f t="shared" si="4"/>
        <v>302.3</v>
      </c>
      <c r="F51" s="133">
        <f t="shared" si="2"/>
        <v>417.2</v>
      </c>
      <c r="G51" s="135">
        <f t="shared" si="3"/>
        <v>11187.7</v>
      </c>
    </row>
    <row r="52" ht="14.25" customHeight="1">
      <c r="A52" s="131">
        <v>48.0</v>
      </c>
      <c r="B52" s="132">
        <v>47328.0</v>
      </c>
      <c r="C52" s="146"/>
      <c r="D52" s="135">
        <f t="shared" si="1"/>
        <v>111.9</v>
      </c>
      <c r="E52" s="135">
        <f t="shared" si="4"/>
        <v>302.3</v>
      </c>
      <c r="F52" s="133">
        <f t="shared" si="2"/>
        <v>414.2</v>
      </c>
      <c r="G52" s="135">
        <f t="shared" si="3"/>
        <v>10885.4</v>
      </c>
    </row>
    <row r="53" ht="14.25" customHeight="1">
      <c r="A53" s="131">
        <v>49.0</v>
      </c>
      <c r="B53" s="132">
        <v>47359.0</v>
      </c>
      <c r="C53" s="146"/>
      <c r="D53" s="135">
        <f t="shared" si="1"/>
        <v>108.9</v>
      </c>
      <c r="E53" s="135">
        <f t="shared" si="4"/>
        <v>302.3</v>
      </c>
      <c r="F53" s="133">
        <f t="shared" si="2"/>
        <v>411.2</v>
      </c>
      <c r="G53" s="135">
        <f t="shared" si="3"/>
        <v>10583.1</v>
      </c>
    </row>
    <row r="54" ht="14.25" customHeight="1">
      <c r="A54" s="131">
        <v>50.0</v>
      </c>
      <c r="B54" s="132">
        <v>47390.0</v>
      </c>
      <c r="C54" s="146"/>
      <c r="D54" s="135">
        <f t="shared" si="1"/>
        <v>105.8</v>
      </c>
      <c r="E54" s="135">
        <f t="shared" si="4"/>
        <v>302.3</v>
      </c>
      <c r="F54" s="133">
        <f t="shared" si="2"/>
        <v>408.1</v>
      </c>
      <c r="G54" s="135">
        <f t="shared" si="3"/>
        <v>10280.8</v>
      </c>
    </row>
    <row r="55" ht="14.25" customHeight="1">
      <c r="A55" s="131">
        <v>51.0</v>
      </c>
      <c r="B55" s="132">
        <v>47420.0</v>
      </c>
      <c r="C55" s="146"/>
      <c r="D55" s="135">
        <f t="shared" si="1"/>
        <v>102.8</v>
      </c>
      <c r="E55" s="135">
        <f t="shared" si="4"/>
        <v>302.3</v>
      </c>
      <c r="F55" s="133">
        <f t="shared" si="2"/>
        <v>405.1</v>
      </c>
      <c r="G55" s="135">
        <f t="shared" si="3"/>
        <v>9978.5</v>
      </c>
    </row>
    <row r="56" ht="14.25" customHeight="1">
      <c r="A56" s="131">
        <v>52.0</v>
      </c>
      <c r="B56" s="132">
        <v>47451.0</v>
      </c>
      <c r="C56" s="146"/>
      <c r="D56" s="135">
        <f t="shared" si="1"/>
        <v>99.8</v>
      </c>
      <c r="E56" s="135">
        <f t="shared" si="4"/>
        <v>302.3</v>
      </c>
      <c r="F56" s="133">
        <f t="shared" si="2"/>
        <v>402.1</v>
      </c>
      <c r="G56" s="135">
        <f t="shared" si="3"/>
        <v>9676.2</v>
      </c>
    </row>
    <row r="57" ht="14.25" customHeight="1">
      <c r="A57" s="131">
        <v>53.0</v>
      </c>
      <c r="B57" s="132">
        <v>47481.0</v>
      </c>
      <c r="C57" s="146"/>
      <c r="D57" s="135">
        <f t="shared" si="1"/>
        <v>96.8</v>
      </c>
      <c r="E57" s="135">
        <f t="shared" si="4"/>
        <v>302.3</v>
      </c>
      <c r="F57" s="133">
        <f t="shared" si="2"/>
        <v>399.1</v>
      </c>
      <c r="G57" s="135">
        <f t="shared" si="3"/>
        <v>9373.9</v>
      </c>
    </row>
    <row r="58" ht="14.25" customHeight="1">
      <c r="A58" s="131">
        <v>54.0</v>
      </c>
      <c r="B58" s="132">
        <v>47512.0</v>
      </c>
      <c r="C58" s="146"/>
      <c r="D58" s="135">
        <f t="shared" si="1"/>
        <v>93.7</v>
      </c>
      <c r="E58" s="135">
        <f t="shared" si="4"/>
        <v>302.3</v>
      </c>
      <c r="F58" s="133">
        <f t="shared" si="2"/>
        <v>396</v>
      </c>
      <c r="G58" s="135">
        <f t="shared" si="3"/>
        <v>9071.6</v>
      </c>
    </row>
    <row r="59" ht="14.25" customHeight="1">
      <c r="A59" s="131">
        <v>55.0</v>
      </c>
      <c r="B59" s="132">
        <v>47542.0</v>
      </c>
      <c r="C59" s="146"/>
      <c r="D59" s="135">
        <f t="shared" si="1"/>
        <v>90.7</v>
      </c>
      <c r="E59" s="135">
        <f t="shared" si="4"/>
        <v>302.3</v>
      </c>
      <c r="F59" s="133">
        <f t="shared" si="2"/>
        <v>393</v>
      </c>
      <c r="G59" s="135">
        <f t="shared" si="3"/>
        <v>8769.3</v>
      </c>
    </row>
    <row r="60" ht="14.25" customHeight="1">
      <c r="A60" s="131">
        <v>56.0</v>
      </c>
      <c r="B60" s="132">
        <v>47571.0</v>
      </c>
      <c r="C60" s="146"/>
      <c r="D60" s="135">
        <f t="shared" si="1"/>
        <v>87.7</v>
      </c>
      <c r="E60" s="135">
        <f t="shared" si="4"/>
        <v>302.3</v>
      </c>
      <c r="F60" s="133">
        <f t="shared" si="2"/>
        <v>390</v>
      </c>
      <c r="G60" s="135">
        <f t="shared" si="3"/>
        <v>8467</v>
      </c>
    </row>
    <row r="61" ht="14.25" customHeight="1">
      <c r="A61" s="131">
        <v>57.0</v>
      </c>
      <c r="B61" s="132">
        <v>47602.0</v>
      </c>
      <c r="C61" s="146"/>
      <c r="D61" s="135">
        <f t="shared" si="1"/>
        <v>84.7</v>
      </c>
      <c r="E61" s="135">
        <f t="shared" si="4"/>
        <v>302.3</v>
      </c>
      <c r="F61" s="133">
        <f t="shared" si="2"/>
        <v>387</v>
      </c>
      <c r="G61" s="135">
        <f t="shared" si="3"/>
        <v>8164.7</v>
      </c>
    </row>
    <row r="62" ht="14.25" customHeight="1">
      <c r="A62" s="131">
        <v>58.0</v>
      </c>
      <c r="B62" s="132">
        <v>47632.0</v>
      </c>
      <c r="C62" s="146"/>
      <c r="D62" s="135">
        <f t="shared" si="1"/>
        <v>81.6</v>
      </c>
      <c r="E62" s="135">
        <f t="shared" si="4"/>
        <v>302.3</v>
      </c>
      <c r="F62" s="133">
        <f t="shared" si="2"/>
        <v>383.9</v>
      </c>
      <c r="G62" s="135">
        <f t="shared" si="3"/>
        <v>7862.4</v>
      </c>
    </row>
    <row r="63" ht="14.25" customHeight="1">
      <c r="A63" s="131">
        <v>59.0</v>
      </c>
      <c r="B63" s="132">
        <v>47663.0</v>
      </c>
      <c r="C63" s="146"/>
      <c r="D63" s="135">
        <f t="shared" si="1"/>
        <v>78.6</v>
      </c>
      <c r="E63" s="135">
        <f t="shared" si="4"/>
        <v>302.3</v>
      </c>
      <c r="F63" s="133">
        <f t="shared" si="2"/>
        <v>380.9</v>
      </c>
      <c r="G63" s="135">
        <f t="shared" si="3"/>
        <v>7560.1</v>
      </c>
    </row>
    <row r="64" ht="14.25" customHeight="1">
      <c r="A64" s="131">
        <v>60.0</v>
      </c>
      <c r="B64" s="132">
        <v>47693.0</v>
      </c>
      <c r="C64" s="146"/>
      <c r="D64" s="135">
        <f t="shared" si="1"/>
        <v>75.6</v>
      </c>
      <c r="E64" s="135">
        <f t="shared" si="4"/>
        <v>302.3</v>
      </c>
      <c r="F64" s="133">
        <f t="shared" si="2"/>
        <v>377.9</v>
      </c>
      <c r="G64" s="135">
        <f t="shared" si="3"/>
        <v>7257.8</v>
      </c>
    </row>
    <row r="65" ht="14.25" customHeight="1">
      <c r="A65" s="131">
        <v>61.0</v>
      </c>
      <c r="B65" s="132">
        <v>47724.0</v>
      </c>
      <c r="C65" s="146"/>
      <c r="D65" s="135">
        <f t="shared" si="1"/>
        <v>72.6</v>
      </c>
      <c r="E65" s="135">
        <f t="shared" si="4"/>
        <v>302.3</v>
      </c>
      <c r="F65" s="133">
        <f t="shared" si="2"/>
        <v>374.9</v>
      </c>
      <c r="G65" s="135">
        <f t="shared" si="3"/>
        <v>6955.5</v>
      </c>
    </row>
    <row r="66" ht="14.25" customHeight="1">
      <c r="A66" s="131">
        <v>62.0</v>
      </c>
      <c r="B66" s="132">
        <v>47755.0</v>
      </c>
      <c r="C66" s="146"/>
      <c r="D66" s="135">
        <f t="shared" si="1"/>
        <v>69.6</v>
      </c>
      <c r="E66" s="135">
        <f t="shared" si="4"/>
        <v>302.3</v>
      </c>
      <c r="F66" s="133">
        <f t="shared" si="2"/>
        <v>371.9</v>
      </c>
      <c r="G66" s="135">
        <f t="shared" si="3"/>
        <v>6653.2</v>
      </c>
    </row>
    <row r="67" ht="14.25" customHeight="1">
      <c r="A67" s="131">
        <v>63.0</v>
      </c>
      <c r="B67" s="132">
        <v>47785.0</v>
      </c>
      <c r="C67" s="146"/>
      <c r="D67" s="135">
        <f t="shared" si="1"/>
        <v>66.5</v>
      </c>
      <c r="E67" s="135">
        <f t="shared" si="4"/>
        <v>302.3</v>
      </c>
      <c r="F67" s="133">
        <f t="shared" si="2"/>
        <v>368.8</v>
      </c>
      <c r="G67" s="135">
        <f t="shared" si="3"/>
        <v>6350.9</v>
      </c>
    </row>
    <row r="68" ht="14.25" customHeight="1">
      <c r="A68" s="131">
        <v>64.0</v>
      </c>
      <c r="B68" s="132">
        <v>47816.0</v>
      </c>
      <c r="C68" s="146"/>
      <c r="D68" s="135">
        <f t="shared" si="1"/>
        <v>63.5</v>
      </c>
      <c r="E68" s="135">
        <f t="shared" si="4"/>
        <v>302.3</v>
      </c>
      <c r="F68" s="133">
        <f t="shared" si="2"/>
        <v>365.8</v>
      </c>
      <c r="G68" s="135">
        <f t="shared" si="3"/>
        <v>6048.6</v>
      </c>
    </row>
    <row r="69" ht="14.25" customHeight="1">
      <c r="A69" s="131">
        <v>65.0</v>
      </c>
      <c r="B69" s="132">
        <v>47846.0</v>
      </c>
      <c r="C69" s="146"/>
      <c r="D69" s="135">
        <f t="shared" si="1"/>
        <v>60.5</v>
      </c>
      <c r="E69" s="135">
        <f t="shared" si="4"/>
        <v>302.3</v>
      </c>
      <c r="F69" s="133">
        <f t="shared" si="2"/>
        <v>362.8</v>
      </c>
      <c r="G69" s="135">
        <f t="shared" si="3"/>
        <v>5746.3</v>
      </c>
    </row>
    <row r="70" ht="14.25" customHeight="1">
      <c r="A70" s="131">
        <v>66.0</v>
      </c>
      <c r="B70" s="132">
        <v>47877.0</v>
      </c>
      <c r="C70" s="146"/>
      <c r="D70" s="135">
        <f t="shared" si="1"/>
        <v>57.5</v>
      </c>
      <c r="E70" s="135">
        <f t="shared" si="4"/>
        <v>302.3</v>
      </c>
      <c r="F70" s="133">
        <f t="shared" si="2"/>
        <v>359.8</v>
      </c>
      <c r="G70" s="135">
        <f t="shared" si="3"/>
        <v>5444</v>
      </c>
    </row>
    <row r="71" ht="14.25" customHeight="1">
      <c r="A71" s="131">
        <v>67.0</v>
      </c>
      <c r="B71" s="132">
        <v>47907.0</v>
      </c>
      <c r="C71" s="146"/>
      <c r="D71" s="135">
        <f t="shared" si="1"/>
        <v>54.4</v>
      </c>
      <c r="E71" s="135">
        <f t="shared" si="4"/>
        <v>302.3</v>
      </c>
      <c r="F71" s="133">
        <f t="shared" si="2"/>
        <v>356.7</v>
      </c>
      <c r="G71" s="135">
        <f t="shared" si="3"/>
        <v>5141.7</v>
      </c>
    </row>
    <row r="72" ht="14.25" customHeight="1">
      <c r="A72" s="131">
        <v>68.0</v>
      </c>
      <c r="B72" s="132">
        <v>47936.0</v>
      </c>
      <c r="C72" s="146"/>
      <c r="D72" s="135">
        <f t="shared" si="1"/>
        <v>51.4</v>
      </c>
      <c r="E72" s="135">
        <f t="shared" si="4"/>
        <v>302.3</v>
      </c>
      <c r="F72" s="133">
        <f t="shared" si="2"/>
        <v>353.7</v>
      </c>
      <c r="G72" s="135">
        <f t="shared" si="3"/>
        <v>4839.4</v>
      </c>
    </row>
    <row r="73" ht="14.25" customHeight="1">
      <c r="A73" s="131">
        <v>69.0</v>
      </c>
      <c r="B73" s="132">
        <v>47967.0</v>
      </c>
      <c r="C73" s="146"/>
      <c r="D73" s="135">
        <f t="shared" si="1"/>
        <v>48.4</v>
      </c>
      <c r="E73" s="135">
        <f t="shared" si="4"/>
        <v>302.3</v>
      </c>
      <c r="F73" s="133">
        <f t="shared" si="2"/>
        <v>350.7</v>
      </c>
      <c r="G73" s="135">
        <f t="shared" si="3"/>
        <v>4537.1</v>
      </c>
    </row>
    <row r="74" ht="14.25" customHeight="1">
      <c r="A74" s="131">
        <v>70.0</v>
      </c>
      <c r="B74" s="132">
        <v>47997.0</v>
      </c>
      <c r="C74" s="146"/>
      <c r="D74" s="135">
        <f t="shared" si="1"/>
        <v>45.4</v>
      </c>
      <c r="E74" s="135">
        <f t="shared" si="4"/>
        <v>302.3</v>
      </c>
      <c r="F74" s="133">
        <f t="shared" si="2"/>
        <v>347.7</v>
      </c>
      <c r="G74" s="135">
        <f t="shared" si="3"/>
        <v>4234.8</v>
      </c>
    </row>
    <row r="75" ht="14.25" customHeight="1">
      <c r="A75" s="131">
        <v>71.0</v>
      </c>
      <c r="B75" s="132">
        <v>48028.0</v>
      </c>
      <c r="C75" s="146"/>
      <c r="D75" s="135">
        <f t="shared" si="1"/>
        <v>42.3</v>
      </c>
      <c r="E75" s="135">
        <f t="shared" si="4"/>
        <v>302.3</v>
      </c>
      <c r="F75" s="133">
        <f t="shared" si="2"/>
        <v>344.6</v>
      </c>
      <c r="G75" s="135">
        <f t="shared" si="3"/>
        <v>3932.5</v>
      </c>
    </row>
    <row r="76" ht="14.25" customHeight="1">
      <c r="A76" s="131">
        <v>72.0</v>
      </c>
      <c r="B76" s="132">
        <v>48058.0</v>
      </c>
      <c r="C76" s="146"/>
      <c r="D76" s="135">
        <f t="shared" si="1"/>
        <v>39.3</v>
      </c>
      <c r="E76" s="135">
        <f t="shared" si="4"/>
        <v>302.3</v>
      </c>
      <c r="F76" s="133">
        <f t="shared" si="2"/>
        <v>341.6</v>
      </c>
      <c r="G76" s="135">
        <f t="shared" si="3"/>
        <v>3630.2</v>
      </c>
    </row>
    <row r="77" ht="14.25" customHeight="1">
      <c r="A77" s="131">
        <v>73.0</v>
      </c>
      <c r="B77" s="132">
        <v>48089.0</v>
      </c>
      <c r="C77" s="146"/>
      <c r="D77" s="135">
        <f t="shared" si="1"/>
        <v>36.3</v>
      </c>
      <c r="E77" s="135">
        <f t="shared" si="4"/>
        <v>302.3</v>
      </c>
      <c r="F77" s="133">
        <f t="shared" si="2"/>
        <v>338.6</v>
      </c>
      <c r="G77" s="135">
        <f t="shared" si="3"/>
        <v>3327.9</v>
      </c>
    </row>
    <row r="78" ht="14.25" customHeight="1">
      <c r="A78" s="131">
        <v>74.0</v>
      </c>
      <c r="B78" s="132">
        <v>48120.0</v>
      </c>
      <c r="C78" s="146"/>
      <c r="D78" s="135">
        <f t="shared" si="1"/>
        <v>33.3</v>
      </c>
      <c r="E78" s="135">
        <f t="shared" si="4"/>
        <v>302.3</v>
      </c>
      <c r="F78" s="133">
        <f t="shared" si="2"/>
        <v>335.6</v>
      </c>
      <c r="G78" s="135">
        <f t="shared" si="3"/>
        <v>3025.6</v>
      </c>
    </row>
    <row r="79" ht="14.25" customHeight="1">
      <c r="A79" s="131">
        <v>75.0</v>
      </c>
      <c r="B79" s="132">
        <v>48150.0</v>
      </c>
      <c r="C79" s="146"/>
      <c r="D79" s="135">
        <f t="shared" si="1"/>
        <v>30.3</v>
      </c>
      <c r="E79" s="135">
        <f t="shared" si="4"/>
        <v>302.3</v>
      </c>
      <c r="F79" s="133">
        <f t="shared" si="2"/>
        <v>332.6</v>
      </c>
      <c r="G79" s="135">
        <f t="shared" si="3"/>
        <v>2723.3</v>
      </c>
    </row>
    <row r="80" ht="14.25" customHeight="1">
      <c r="A80" s="131">
        <v>76.0</v>
      </c>
      <c r="B80" s="132">
        <v>48181.0</v>
      </c>
      <c r="C80" s="146"/>
      <c r="D80" s="135">
        <f t="shared" si="1"/>
        <v>27.2</v>
      </c>
      <c r="E80" s="135">
        <f t="shared" si="4"/>
        <v>302.3</v>
      </c>
      <c r="F80" s="133">
        <f t="shared" si="2"/>
        <v>329.5</v>
      </c>
      <c r="G80" s="135">
        <f t="shared" si="3"/>
        <v>2421</v>
      </c>
    </row>
    <row r="81" ht="14.25" customHeight="1">
      <c r="A81" s="131">
        <v>77.0</v>
      </c>
      <c r="B81" s="132">
        <v>48211.0</v>
      </c>
      <c r="C81" s="146"/>
      <c r="D81" s="135">
        <f t="shared" si="1"/>
        <v>24.2</v>
      </c>
      <c r="E81" s="135">
        <f t="shared" si="4"/>
        <v>302.3</v>
      </c>
      <c r="F81" s="133">
        <f t="shared" si="2"/>
        <v>326.5</v>
      </c>
      <c r="G81" s="135">
        <f t="shared" si="3"/>
        <v>2118.7</v>
      </c>
    </row>
    <row r="82" ht="14.25" customHeight="1">
      <c r="A82" s="131">
        <v>78.0</v>
      </c>
      <c r="B82" s="132">
        <v>48242.0</v>
      </c>
      <c r="C82" s="146"/>
      <c r="D82" s="135">
        <f t="shared" si="1"/>
        <v>21.2</v>
      </c>
      <c r="E82" s="135">
        <f t="shared" si="4"/>
        <v>302.3</v>
      </c>
      <c r="F82" s="133">
        <f t="shared" si="2"/>
        <v>323.5</v>
      </c>
      <c r="G82" s="135">
        <f t="shared" si="3"/>
        <v>1816.4</v>
      </c>
    </row>
    <row r="83" ht="14.25" customHeight="1">
      <c r="A83" s="131">
        <v>79.0</v>
      </c>
      <c r="B83" s="132">
        <v>48273.0</v>
      </c>
      <c r="C83" s="146"/>
      <c r="D83" s="135">
        <f t="shared" si="1"/>
        <v>18.2</v>
      </c>
      <c r="E83" s="135">
        <f t="shared" si="4"/>
        <v>302.3</v>
      </c>
      <c r="F83" s="133">
        <f t="shared" si="2"/>
        <v>320.5</v>
      </c>
      <c r="G83" s="135">
        <f t="shared" si="3"/>
        <v>1514.1</v>
      </c>
    </row>
    <row r="84" ht="14.25" customHeight="1">
      <c r="A84" s="131">
        <v>80.0</v>
      </c>
      <c r="B84" s="132">
        <v>48302.0</v>
      </c>
      <c r="C84" s="146"/>
      <c r="D84" s="135">
        <f t="shared" si="1"/>
        <v>15.1</v>
      </c>
      <c r="E84" s="135">
        <f t="shared" si="4"/>
        <v>302.3</v>
      </c>
      <c r="F84" s="133">
        <f t="shared" si="2"/>
        <v>317.4</v>
      </c>
      <c r="G84" s="135">
        <f t="shared" si="3"/>
        <v>1211.8</v>
      </c>
    </row>
    <row r="85" ht="14.25" customHeight="1">
      <c r="A85" s="131">
        <v>81.0</v>
      </c>
      <c r="B85" s="132">
        <v>48333.0</v>
      </c>
      <c r="C85" s="146"/>
      <c r="D85" s="135">
        <f t="shared" si="1"/>
        <v>12.1</v>
      </c>
      <c r="E85" s="135">
        <f t="shared" si="4"/>
        <v>302.3</v>
      </c>
      <c r="F85" s="133">
        <f t="shared" si="2"/>
        <v>314.4</v>
      </c>
      <c r="G85" s="135">
        <f t="shared" si="3"/>
        <v>909.5</v>
      </c>
    </row>
    <row r="86" ht="14.25" customHeight="1">
      <c r="A86" s="131">
        <v>82.0</v>
      </c>
      <c r="B86" s="132">
        <v>48363.0</v>
      </c>
      <c r="C86" s="146"/>
      <c r="D86" s="135">
        <f t="shared" si="1"/>
        <v>9.1</v>
      </c>
      <c r="E86" s="135">
        <f t="shared" si="4"/>
        <v>302.3</v>
      </c>
      <c r="F86" s="133">
        <f t="shared" si="2"/>
        <v>311.4</v>
      </c>
      <c r="G86" s="135">
        <f t="shared" si="3"/>
        <v>607.2</v>
      </c>
    </row>
    <row r="87" ht="14.25" customHeight="1">
      <c r="A87" s="131">
        <v>83.0</v>
      </c>
      <c r="B87" s="132">
        <v>48394.0</v>
      </c>
      <c r="C87" s="146"/>
      <c r="D87" s="135">
        <f t="shared" si="1"/>
        <v>6.1</v>
      </c>
      <c r="E87" s="135">
        <f t="shared" si="4"/>
        <v>302.3</v>
      </c>
      <c r="F87" s="133">
        <f t="shared" si="2"/>
        <v>308.4</v>
      </c>
      <c r="G87" s="135">
        <f t="shared" si="3"/>
        <v>304.9</v>
      </c>
    </row>
    <row r="88" ht="14.25" customHeight="1">
      <c r="A88" s="131">
        <v>84.0</v>
      </c>
      <c r="B88" s="132">
        <v>48424.0</v>
      </c>
      <c r="C88" s="146"/>
      <c r="D88" s="135">
        <f t="shared" si="1"/>
        <v>3</v>
      </c>
      <c r="E88" s="135">
        <f>ROUNDDOWN($C$4/84,1)+2.6</f>
        <v>304.9</v>
      </c>
      <c r="F88" s="133">
        <f t="shared" si="2"/>
        <v>307.9</v>
      </c>
      <c r="G88" s="135">
        <f t="shared" si="3"/>
        <v>0</v>
      </c>
    </row>
    <row r="89" ht="14.25" customHeight="1">
      <c r="A89" s="129" t="s">
        <v>252</v>
      </c>
      <c r="B89" s="2"/>
      <c r="C89" s="3"/>
      <c r="D89" s="147">
        <f t="shared" ref="D89:F89" si="5">+SUM(D5:D88)</f>
        <v>10794.3</v>
      </c>
      <c r="E89" s="147">
        <f t="shared" si="5"/>
        <v>25395.8</v>
      </c>
      <c r="F89" s="147">
        <f t="shared" si="5"/>
        <v>36190.1</v>
      </c>
      <c r="G89" s="148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344</v>
      </c>
      <c r="B1" s="2"/>
      <c r="C1" s="2"/>
      <c r="D1" s="2"/>
      <c r="E1" s="2"/>
      <c r="F1" s="2"/>
      <c r="G1" s="3"/>
    </row>
    <row r="2" ht="14.25" customHeight="1">
      <c r="A2" s="129" t="s">
        <v>339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45898.0</v>
      </c>
      <c r="C4" s="133">
        <f>+J7</f>
        <v>15426.2</v>
      </c>
      <c r="D4" s="134">
        <v>0.01</v>
      </c>
      <c r="E4" s="135"/>
      <c r="F4" s="135"/>
      <c r="G4" s="135">
        <f>+C4</f>
        <v>15426.2</v>
      </c>
    </row>
    <row r="5" ht="14.25" customHeight="1">
      <c r="A5" s="136">
        <v>1.0</v>
      </c>
      <c r="B5" s="137">
        <v>45929.0</v>
      </c>
      <c r="C5" s="144"/>
      <c r="D5" s="138">
        <f t="shared" ref="D5:D64" si="1">+ROUND(G4*0.01,1)</f>
        <v>154.3</v>
      </c>
      <c r="E5" s="138">
        <f t="shared" ref="E5:E63" si="2">ROUNDDOWN($C$4/60,1)</f>
        <v>257.1</v>
      </c>
      <c r="F5" s="139">
        <f t="shared" ref="F5:F64" si="3">+ROUND(D5+E5,1)</f>
        <v>411.4</v>
      </c>
      <c r="G5" s="138">
        <f t="shared" ref="G5:G64" si="4">+ROUND(G4-E5,1)</f>
        <v>15169.1</v>
      </c>
      <c r="I5" s="140" t="s">
        <v>209</v>
      </c>
      <c r="J5" s="141">
        <v>12584.8</v>
      </c>
    </row>
    <row r="6" ht="14.25" customHeight="1">
      <c r="A6" s="136">
        <v>2.0</v>
      </c>
      <c r="B6" s="137">
        <v>45959.0</v>
      </c>
      <c r="C6" s="145"/>
      <c r="D6" s="138">
        <f t="shared" si="1"/>
        <v>151.7</v>
      </c>
      <c r="E6" s="138">
        <f t="shared" si="2"/>
        <v>257.1</v>
      </c>
      <c r="F6" s="139">
        <f t="shared" si="3"/>
        <v>408.8</v>
      </c>
      <c r="G6" s="138">
        <f t="shared" si="4"/>
        <v>14912</v>
      </c>
      <c r="I6" s="140" t="s">
        <v>331</v>
      </c>
      <c r="J6" s="141">
        <v>2841.4</v>
      </c>
    </row>
    <row r="7" ht="14.25" customHeight="1">
      <c r="A7" s="136">
        <v>3.0</v>
      </c>
      <c r="B7" s="137">
        <v>45990.0</v>
      </c>
      <c r="C7" s="145"/>
      <c r="D7" s="138">
        <f t="shared" si="1"/>
        <v>149.1</v>
      </c>
      <c r="E7" s="138">
        <f t="shared" si="2"/>
        <v>257.1</v>
      </c>
      <c r="F7" s="139">
        <f t="shared" si="3"/>
        <v>406.2</v>
      </c>
      <c r="G7" s="138">
        <f t="shared" si="4"/>
        <v>14654.9</v>
      </c>
      <c r="I7" s="142" t="s">
        <v>252</v>
      </c>
      <c r="J7" s="143">
        <f>+SUM(J5:J6)</f>
        <v>15426.2</v>
      </c>
    </row>
    <row r="8" ht="14.25" customHeight="1">
      <c r="A8" s="136">
        <v>4.0</v>
      </c>
      <c r="B8" s="137">
        <v>46020.0</v>
      </c>
      <c r="C8" s="145"/>
      <c r="D8" s="138">
        <f t="shared" si="1"/>
        <v>146.5</v>
      </c>
      <c r="E8" s="138">
        <f t="shared" si="2"/>
        <v>257.1</v>
      </c>
      <c r="F8" s="139">
        <f t="shared" si="3"/>
        <v>403.6</v>
      </c>
      <c r="G8" s="138">
        <f t="shared" si="4"/>
        <v>14397.8</v>
      </c>
    </row>
    <row r="9" ht="14.25" customHeight="1">
      <c r="A9" s="136">
        <v>5.0</v>
      </c>
      <c r="B9" s="137">
        <v>46051.0</v>
      </c>
      <c r="C9" s="145"/>
      <c r="D9" s="138">
        <f t="shared" si="1"/>
        <v>144</v>
      </c>
      <c r="E9" s="138">
        <f t="shared" si="2"/>
        <v>257.1</v>
      </c>
      <c r="F9" s="139">
        <f t="shared" si="3"/>
        <v>401.1</v>
      </c>
      <c r="G9" s="138">
        <f t="shared" si="4"/>
        <v>14140.7</v>
      </c>
      <c r="I9" s="152" t="s">
        <v>328</v>
      </c>
      <c r="J9" s="153">
        <f>SUM(D5:D10)</f>
        <v>887</v>
      </c>
    </row>
    <row r="10" ht="14.25" customHeight="1">
      <c r="A10" s="154">
        <v>6.0</v>
      </c>
      <c r="B10" s="155">
        <v>46081.0</v>
      </c>
      <c r="C10" s="156"/>
      <c r="D10" s="157">
        <f t="shared" si="1"/>
        <v>141.4</v>
      </c>
      <c r="E10" s="157">
        <f t="shared" si="2"/>
        <v>257.1</v>
      </c>
      <c r="F10" s="157">
        <f t="shared" si="3"/>
        <v>398.5</v>
      </c>
      <c r="G10" s="157">
        <f t="shared" si="4"/>
        <v>13883.6</v>
      </c>
      <c r="I10" s="152" t="s">
        <v>209</v>
      </c>
      <c r="J10" s="153">
        <f>G10</f>
        <v>13883.6</v>
      </c>
    </row>
    <row r="11" ht="14.25" hidden="1" customHeight="1">
      <c r="A11" s="131">
        <v>7.0</v>
      </c>
      <c r="B11" s="132">
        <v>46110.0</v>
      </c>
      <c r="C11" s="146"/>
      <c r="D11" s="135">
        <f t="shared" si="1"/>
        <v>138.8</v>
      </c>
      <c r="E11" s="135">
        <f t="shared" si="2"/>
        <v>257.1</v>
      </c>
      <c r="F11" s="133">
        <f t="shared" si="3"/>
        <v>395.9</v>
      </c>
      <c r="G11" s="135">
        <f t="shared" si="4"/>
        <v>13626.5</v>
      </c>
    </row>
    <row r="12" ht="14.25" hidden="1" customHeight="1">
      <c r="A12" s="131">
        <v>8.0</v>
      </c>
      <c r="B12" s="132">
        <v>46141.0</v>
      </c>
      <c r="C12" s="146"/>
      <c r="D12" s="135">
        <f t="shared" si="1"/>
        <v>136.3</v>
      </c>
      <c r="E12" s="135">
        <f t="shared" si="2"/>
        <v>257.1</v>
      </c>
      <c r="F12" s="133">
        <f t="shared" si="3"/>
        <v>393.4</v>
      </c>
      <c r="G12" s="135">
        <f t="shared" si="4"/>
        <v>13369.4</v>
      </c>
    </row>
    <row r="13" ht="14.25" hidden="1" customHeight="1">
      <c r="A13" s="131">
        <v>9.0</v>
      </c>
      <c r="B13" s="132">
        <v>46171.0</v>
      </c>
      <c r="C13" s="146"/>
      <c r="D13" s="135">
        <f t="shared" si="1"/>
        <v>133.7</v>
      </c>
      <c r="E13" s="135">
        <f t="shared" si="2"/>
        <v>257.1</v>
      </c>
      <c r="F13" s="133">
        <f t="shared" si="3"/>
        <v>390.8</v>
      </c>
      <c r="G13" s="135">
        <f t="shared" si="4"/>
        <v>13112.3</v>
      </c>
    </row>
    <row r="14" ht="14.25" hidden="1" customHeight="1">
      <c r="A14" s="131">
        <v>10.0</v>
      </c>
      <c r="B14" s="132">
        <v>46202.0</v>
      </c>
      <c r="C14" s="146"/>
      <c r="D14" s="135">
        <f t="shared" si="1"/>
        <v>131.1</v>
      </c>
      <c r="E14" s="135">
        <f t="shared" si="2"/>
        <v>257.1</v>
      </c>
      <c r="F14" s="133">
        <f t="shared" si="3"/>
        <v>388.2</v>
      </c>
      <c r="G14" s="135">
        <f t="shared" si="4"/>
        <v>12855.2</v>
      </c>
    </row>
    <row r="15" ht="14.25" hidden="1" customHeight="1">
      <c r="A15" s="131">
        <v>11.0</v>
      </c>
      <c r="B15" s="132">
        <v>46232.0</v>
      </c>
      <c r="C15" s="146"/>
      <c r="D15" s="135">
        <f t="shared" si="1"/>
        <v>128.6</v>
      </c>
      <c r="E15" s="135">
        <f t="shared" si="2"/>
        <v>257.1</v>
      </c>
      <c r="F15" s="133">
        <f t="shared" si="3"/>
        <v>385.7</v>
      </c>
      <c r="G15" s="135">
        <f t="shared" si="4"/>
        <v>12598.1</v>
      </c>
    </row>
    <row r="16" ht="14.25" hidden="1" customHeight="1">
      <c r="A16" s="131">
        <v>12.0</v>
      </c>
      <c r="B16" s="132">
        <v>46263.0</v>
      </c>
      <c r="C16" s="146"/>
      <c r="D16" s="135">
        <f t="shared" si="1"/>
        <v>126</v>
      </c>
      <c r="E16" s="135">
        <f t="shared" si="2"/>
        <v>257.1</v>
      </c>
      <c r="F16" s="133">
        <f t="shared" si="3"/>
        <v>383.1</v>
      </c>
      <c r="G16" s="135">
        <f t="shared" si="4"/>
        <v>12341</v>
      </c>
    </row>
    <row r="17" ht="14.25" hidden="1" customHeight="1">
      <c r="A17" s="131">
        <v>13.0</v>
      </c>
      <c r="B17" s="132">
        <v>46294.0</v>
      </c>
      <c r="C17" s="146"/>
      <c r="D17" s="135">
        <f t="shared" si="1"/>
        <v>123.4</v>
      </c>
      <c r="E17" s="135">
        <f t="shared" si="2"/>
        <v>257.1</v>
      </c>
      <c r="F17" s="133">
        <f t="shared" si="3"/>
        <v>380.5</v>
      </c>
      <c r="G17" s="135">
        <f t="shared" si="4"/>
        <v>12083.9</v>
      </c>
    </row>
    <row r="18" ht="14.25" hidden="1" customHeight="1">
      <c r="A18" s="131">
        <v>14.0</v>
      </c>
      <c r="B18" s="132">
        <v>46324.0</v>
      </c>
      <c r="C18" s="146"/>
      <c r="D18" s="135">
        <f t="shared" si="1"/>
        <v>120.8</v>
      </c>
      <c r="E18" s="135">
        <f t="shared" si="2"/>
        <v>257.1</v>
      </c>
      <c r="F18" s="133">
        <f t="shared" si="3"/>
        <v>377.9</v>
      </c>
      <c r="G18" s="135">
        <f t="shared" si="4"/>
        <v>11826.8</v>
      </c>
    </row>
    <row r="19" ht="14.25" hidden="1" customHeight="1">
      <c r="A19" s="131">
        <v>15.0</v>
      </c>
      <c r="B19" s="132">
        <v>46355.0</v>
      </c>
      <c r="C19" s="146"/>
      <c r="D19" s="135">
        <f t="shared" si="1"/>
        <v>118.3</v>
      </c>
      <c r="E19" s="135">
        <f t="shared" si="2"/>
        <v>257.1</v>
      </c>
      <c r="F19" s="133">
        <f t="shared" si="3"/>
        <v>375.4</v>
      </c>
      <c r="G19" s="135">
        <f t="shared" si="4"/>
        <v>11569.7</v>
      </c>
    </row>
    <row r="20" ht="14.25" hidden="1" customHeight="1">
      <c r="A20" s="131">
        <v>16.0</v>
      </c>
      <c r="B20" s="132">
        <v>46385.0</v>
      </c>
      <c r="C20" s="146"/>
      <c r="D20" s="135">
        <f t="shared" si="1"/>
        <v>115.7</v>
      </c>
      <c r="E20" s="135">
        <f t="shared" si="2"/>
        <v>257.1</v>
      </c>
      <c r="F20" s="133">
        <f t="shared" si="3"/>
        <v>372.8</v>
      </c>
      <c r="G20" s="135">
        <f t="shared" si="4"/>
        <v>11312.6</v>
      </c>
    </row>
    <row r="21" ht="14.25" hidden="1" customHeight="1">
      <c r="A21" s="131">
        <v>17.0</v>
      </c>
      <c r="B21" s="132">
        <v>46416.0</v>
      </c>
      <c r="C21" s="146"/>
      <c r="D21" s="135">
        <f t="shared" si="1"/>
        <v>113.1</v>
      </c>
      <c r="E21" s="135">
        <f t="shared" si="2"/>
        <v>257.1</v>
      </c>
      <c r="F21" s="133">
        <f t="shared" si="3"/>
        <v>370.2</v>
      </c>
      <c r="G21" s="135">
        <f t="shared" si="4"/>
        <v>11055.5</v>
      </c>
    </row>
    <row r="22" ht="14.25" hidden="1" customHeight="1">
      <c r="A22" s="131">
        <v>18.0</v>
      </c>
      <c r="B22" s="132">
        <v>46446.0</v>
      </c>
      <c r="C22" s="146"/>
      <c r="D22" s="135">
        <f t="shared" si="1"/>
        <v>110.6</v>
      </c>
      <c r="E22" s="135">
        <f t="shared" si="2"/>
        <v>257.1</v>
      </c>
      <c r="F22" s="133">
        <f t="shared" si="3"/>
        <v>367.7</v>
      </c>
      <c r="G22" s="135">
        <f t="shared" si="4"/>
        <v>10798.4</v>
      </c>
    </row>
    <row r="23" ht="14.25" hidden="1" customHeight="1">
      <c r="A23" s="131">
        <v>19.0</v>
      </c>
      <c r="B23" s="132">
        <v>46475.0</v>
      </c>
      <c r="C23" s="146"/>
      <c r="D23" s="135">
        <f t="shared" si="1"/>
        <v>108</v>
      </c>
      <c r="E23" s="135">
        <f t="shared" si="2"/>
        <v>257.1</v>
      </c>
      <c r="F23" s="133">
        <f t="shared" si="3"/>
        <v>365.1</v>
      </c>
      <c r="G23" s="135">
        <f t="shared" si="4"/>
        <v>10541.3</v>
      </c>
    </row>
    <row r="24" ht="14.25" hidden="1" customHeight="1">
      <c r="A24" s="131">
        <v>20.0</v>
      </c>
      <c r="B24" s="132">
        <v>46506.0</v>
      </c>
      <c r="C24" s="146"/>
      <c r="D24" s="135">
        <f t="shared" si="1"/>
        <v>105.4</v>
      </c>
      <c r="E24" s="135">
        <f t="shared" si="2"/>
        <v>257.1</v>
      </c>
      <c r="F24" s="133">
        <f t="shared" si="3"/>
        <v>362.5</v>
      </c>
      <c r="G24" s="135">
        <f t="shared" si="4"/>
        <v>10284.2</v>
      </c>
    </row>
    <row r="25" ht="14.25" hidden="1" customHeight="1">
      <c r="A25" s="131">
        <v>21.0</v>
      </c>
      <c r="B25" s="132">
        <v>46536.0</v>
      </c>
      <c r="C25" s="146"/>
      <c r="D25" s="135">
        <f t="shared" si="1"/>
        <v>102.8</v>
      </c>
      <c r="E25" s="135">
        <f t="shared" si="2"/>
        <v>257.1</v>
      </c>
      <c r="F25" s="133">
        <f t="shared" si="3"/>
        <v>359.9</v>
      </c>
      <c r="G25" s="135">
        <f t="shared" si="4"/>
        <v>10027.1</v>
      </c>
    </row>
    <row r="26" ht="14.25" hidden="1" customHeight="1">
      <c r="A26" s="131">
        <v>22.0</v>
      </c>
      <c r="B26" s="132">
        <v>46567.0</v>
      </c>
      <c r="C26" s="146"/>
      <c r="D26" s="135">
        <f t="shared" si="1"/>
        <v>100.3</v>
      </c>
      <c r="E26" s="135">
        <f t="shared" si="2"/>
        <v>257.1</v>
      </c>
      <c r="F26" s="133">
        <f t="shared" si="3"/>
        <v>357.4</v>
      </c>
      <c r="G26" s="135">
        <f t="shared" si="4"/>
        <v>9770</v>
      </c>
    </row>
    <row r="27" ht="14.25" hidden="1" customHeight="1">
      <c r="A27" s="131">
        <v>23.0</v>
      </c>
      <c r="B27" s="132">
        <v>46597.0</v>
      </c>
      <c r="C27" s="146"/>
      <c r="D27" s="135">
        <f t="shared" si="1"/>
        <v>97.7</v>
      </c>
      <c r="E27" s="135">
        <f t="shared" si="2"/>
        <v>257.1</v>
      </c>
      <c r="F27" s="133">
        <f t="shared" si="3"/>
        <v>354.8</v>
      </c>
      <c r="G27" s="135">
        <f t="shared" si="4"/>
        <v>9512.9</v>
      </c>
    </row>
    <row r="28" ht="14.25" hidden="1" customHeight="1">
      <c r="A28" s="131">
        <v>24.0</v>
      </c>
      <c r="B28" s="132">
        <v>46628.0</v>
      </c>
      <c r="C28" s="146"/>
      <c r="D28" s="135">
        <f t="shared" si="1"/>
        <v>95.1</v>
      </c>
      <c r="E28" s="135">
        <f t="shared" si="2"/>
        <v>257.1</v>
      </c>
      <c r="F28" s="133">
        <f t="shared" si="3"/>
        <v>352.2</v>
      </c>
      <c r="G28" s="135">
        <f t="shared" si="4"/>
        <v>9255.8</v>
      </c>
    </row>
    <row r="29" ht="14.25" hidden="1" customHeight="1">
      <c r="A29" s="131">
        <v>25.0</v>
      </c>
      <c r="B29" s="132">
        <v>46659.0</v>
      </c>
      <c r="C29" s="146"/>
      <c r="D29" s="135">
        <f t="shared" si="1"/>
        <v>92.6</v>
      </c>
      <c r="E29" s="135">
        <f t="shared" si="2"/>
        <v>257.1</v>
      </c>
      <c r="F29" s="133">
        <f t="shared" si="3"/>
        <v>349.7</v>
      </c>
      <c r="G29" s="135">
        <f t="shared" si="4"/>
        <v>8998.7</v>
      </c>
    </row>
    <row r="30" ht="14.25" hidden="1" customHeight="1">
      <c r="A30" s="131">
        <v>26.0</v>
      </c>
      <c r="B30" s="132">
        <v>46689.0</v>
      </c>
      <c r="C30" s="146"/>
      <c r="D30" s="135">
        <f t="shared" si="1"/>
        <v>90</v>
      </c>
      <c r="E30" s="135">
        <f t="shared" si="2"/>
        <v>257.1</v>
      </c>
      <c r="F30" s="133">
        <f t="shared" si="3"/>
        <v>347.1</v>
      </c>
      <c r="G30" s="135">
        <f t="shared" si="4"/>
        <v>8741.6</v>
      </c>
    </row>
    <row r="31" ht="14.25" hidden="1" customHeight="1">
      <c r="A31" s="131">
        <v>27.0</v>
      </c>
      <c r="B31" s="132">
        <v>46720.0</v>
      </c>
      <c r="C31" s="146"/>
      <c r="D31" s="135">
        <f t="shared" si="1"/>
        <v>87.4</v>
      </c>
      <c r="E31" s="135">
        <f t="shared" si="2"/>
        <v>257.1</v>
      </c>
      <c r="F31" s="133">
        <f t="shared" si="3"/>
        <v>344.5</v>
      </c>
      <c r="G31" s="135">
        <f t="shared" si="4"/>
        <v>8484.5</v>
      </c>
    </row>
    <row r="32" ht="14.25" hidden="1" customHeight="1">
      <c r="A32" s="131">
        <v>28.0</v>
      </c>
      <c r="B32" s="132">
        <v>46750.0</v>
      </c>
      <c r="C32" s="146"/>
      <c r="D32" s="135">
        <f t="shared" si="1"/>
        <v>84.8</v>
      </c>
      <c r="E32" s="135">
        <f t="shared" si="2"/>
        <v>257.1</v>
      </c>
      <c r="F32" s="133">
        <f t="shared" si="3"/>
        <v>341.9</v>
      </c>
      <c r="G32" s="135">
        <f t="shared" si="4"/>
        <v>8227.4</v>
      </c>
    </row>
    <row r="33" ht="14.25" hidden="1" customHeight="1">
      <c r="A33" s="131">
        <v>29.0</v>
      </c>
      <c r="B33" s="132">
        <v>46781.0</v>
      </c>
      <c r="C33" s="146"/>
      <c r="D33" s="135">
        <f t="shared" si="1"/>
        <v>82.3</v>
      </c>
      <c r="E33" s="135">
        <f t="shared" si="2"/>
        <v>257.1</v>
      </c>
      <c r="F33" s="133">
        <f t="shared" si="3"/>
        <v>339.4</v>
      </c>
      <c r="G33" s="135">
        <f t="shared" si="4"/>
        <v>7970.3</v>
      </c>
    </row>
    <row r="34" ht="14.25" hidden="1" customHeight="1">
      <c r="A34" s="131">
        <v>30.0</v>
      </c>
      <c r="B34" s="132">
        <v>46812.0</v>
      </c>
      <c r="C34" s="146"/>
      <c r="D34" s="135">
        <f t="shared" si="1"/>
        <v>79.7</v>
      </c>
      <c r="E34" s="135">
        <f t="shared" si="2"/>
        <v>257.1</v>
      </c>
      <c r="F34" s="133">
        <f t="shared" si="3"/>
        <v>336.8</v>
      </c>
      <c r="G34" s="135">
        <f t="shared" si="4"/>
        <v>7713.2</v>
      </c>
    </row>
    <row r="35" ht="14.25" hidden="1" customHeight="1">
      <c r="A35" s="131">
        <v>31.0</v>
      </c>
      <c r="B35" s="132">
        <v>46841.0</v>
      </c>
      <c r="C35" s="146"/>
      <c r="D35" s="135">
        <f t="shared" si="1"/>
        <v>77.1</v>
      </c>
      <c r="E35" s="135">
        <f t="shared" si="2"/>
        <v>257.1</v>
      </c>
      <c r="F35" s="133">
        <f t="shared" si="3"/>
        <v>334.2</v>
      </c>
      <c r="G35" s="135">
        <f t="shared" si="4"/>
        <v>7456.1</v>
      </c>
    </row>
    <row r="36" ht="14.25" hidden="1" customHeight="1">
      <c r="A36" s="131">
        <v>32.0</v>
      </c>
      <c r="B36" s="132">
        <v>46872.0</v>
      </c>
      <c r="C36" s="146"/>
      <c r="D36" s="135">
        <f t="shared" si="1"/>
        <v>74.6</v>
      </c>
      <c r="E36" s="135">
        <f t="shared" si="2"/>
        <v>257.1</v>
      </c>
      <c r="F36" s="133">
        <f t="shared" si="3"/>
        <v>331.7</v>
      </c>
      <c r="G36" s="135">
        <f t="shared" si="4"/>
        <v>7199</v>
      </c>
    </row>
    <row r="37" ht="14.25" hidden="1" customHeight="1">
      <c r="A37" s="131">
        <v>33.0</v>
      </c>
      <c r="B37" s="132">
        <v>46902.0</v>
      </c>
      <c r="C37" s="146"/>
      <c r="D37" s="135">
        <f t="shared" si="1"/>
        <v>72</v>
      </c>
      <c r="E37" s="135">
        <f t="shared" si="2"/>
        <v>257.1</v>
      </c>
      <c r="F37" s="133">
        <f t="shared" si="3"/>
        <v>329.1</v>
      </c>
      <c r="G37" s="135">
        <f t="shared" si="4"/>
        <v>6941.9</v>
      </c>
    </row>
    <row r="38" ht="14.25" hidden="1" customHeight="1">
      <c r="A38" s="131">
        <v>34.0</v>
      </c>
      <c r="B38" s="132">
        <v>46933.0</v>
      </c>
      <c r="C38" s="146"/>
      <c r="D38" s="135">
        <f t="shared" si="1"/>
        <v>69.4</v>
      </c>
      <c r="E38" s="135">
        <f t="shared" si="2"/>
        <v>257.1</v>
      </c>
      <c r="F38" s="133">
        <f t="shared" si="3"/>
        <v>326.5</v>
      </c>
      <c r="G38" s="135">
        <f t="shared" si="4"/>
        <v>6684.8</v>
      </c>
    </row>
    <row r="39" ht="14.25" hidden="1" customHeight="1">
      <c r="A39" s="131">
        <v>35.0</v>
      </c>
      <c r="B39" s="132">
        <v>46963.0</v>
      </c>
      <c r="C39" s="146"/>
      <c r="D39" s="135">
        <f t="shared" si="1"/>
        <v>66.8</v>
      </c>
      <c r="E39" s="135">
        <f t="shared" si="2"/>
        <v>257.1</v>
      </c>
      <c r="F39" s="133">
        <f t="shared" si="3"/>
        <v>323.9</v>
      </c>
      <c r="G39" s="135">
        <f t="shared" si="4"/>
        <v>6427.7</v>
      </c>
    </row>
    <row r="40" ht="14.25" hidden="1" customHeight="1">
      <c r="A40" s="131">
        <v>36.0</v>
      </c>
      <c r="B40" s="132">
        <v>46994.0</v>
      </c>
      <c r="C40" s="146"/>
      <c r="D40" s="135">
        <f t="shared" si="1"/>
        <v>64.3</v>
      </c>
      <c r="E40" s="135">
        <f t="shared" si="2"/>
        <v>257.1</v>
      </c>
      <c r="F40" s="133">
        <f t="shared" si="3"/>
        <v>321.4</v>
      </c>
      <c r="G40" s="135">
        <f t="shared" si="4"/>
        <v>6170.6</v>
      </c>
    </row>
    <row r="41" ht="14.25" hidden="1" customHeight="1">
      <c r="A41" s="131">
        <v>37.0</v>
      </c>
      <c r="B41" s="132">
        <v>47025.0</v>
      </c>
      <c r="C41" s="146"/>
      <c r="D41" s="135">
        <f t="shared" si="1"/>
        <v>61.7</v>
      </c>
      <c r="E41" s="135">
        <f t="shared" si="2"/>
        <v>257.1</v>
      </c>
      <c r="F41" s="133">
        <f t="shared" si="3"/>
        <v>318.8</v>
      </c>
      <c r="G41" s="135">
        <f t="shared" si="4"/>
        <v>5913.5</v>
      </c>
    </row>
    <row r="42" ht="14.25" hidden="1" customHeight="1">
      <c r="A42" s="131">
        <v>38.0</v>
      </c>
      <c r="B42" s="132">
        <v>47055.0</v>
      </c>
      <c r="C42" s="146"/>
      <c r="D42" s="135">
        <f t="shared" si="1"/>
        <v>59.1</v>
      </c>
      <c r="E42" s="135">
        <f t="shared" si="2"/>
        <v>257.1</v>
      </c>
      <c r="F42" s="133">
        <f t="shared" si="3"/>
        <v>316.2</v>
      </c>
      <c r="G42" s="135">
        <f t="shared" si="4"/>
        <v>5656.4</v>
      </c>
    </row>
    <row r="43" ht="14.25" hidden="1" customHeight="1">
      <c r="A43" s="131">
        <v>39.0</v>
      </c>
      <c r="B43" s="132">
        <v>47086.0</v>
      </c>
      <c r="C43" s="146"/>
      <c r="D43" s="135">
        <f t="shared" si="1"/>
        <v>56.6</v>
      </c>
      <c r="E43" s="135">
        <f t="shared" si="2"/>
        <v>257.1</v>
      </c>
      <c r="F43" s="133">
        <f t="shared" si="3"/>
        <v>313.7</v>
      </c>
      <c r="G43" s="135">
        <f t="shared" si="4"/>
        <v>5399.3</v>
      </c>
    </row>
    <row r="44" ht="14.25" hidden="1" customHeight="1">
      <c r="A44" s="131">
        <v>40.0</v>
      </c>
      <c r="B44" s="132">
        <v>47116.0</v>
      </c>
      <c r="C44" s="146"/>
      <c r="D44" s="135">
        <f t="shared" si="1"/>
        <v>54</v>
      </c>
      <c r="E44" s="135">
        <f t="shared" si="2"/>
        <v>257.1</v>
      </c>
      <c r="F44" s="133">
        <f t="shared" si="3"/>
        <v>311.1</v>
      </c>
      <c r="G44" s="135">
        <f t="shared" si="4"/>
        <v>5142.2</v>
      </c>
    </row>
    <row r="45" ht="14.25" hidden="1" customHeight="1">
      <c r="A45" s="131">
        <v>41.0</v>
      </c>
      <c r="B45" s="132">
        <v>47147.0</v>
      </c>
      <c r="C45" s="146"/>
      <c r="D45" s="135">
        <f t="shared" si="1"/>
        <v>51.4</v>
      </c>
      <c r="E45" s="135">
        <f t="shared" si="2"/>
        <v>257.1</v>
      </c>
      <c r="F45" s="133">
        <f t="shared" si="3"/>
        <v>308.5</v>
      </c>
      <c r="G45" s="135">
        <f t="shared" si="4"/>
        <v>4885.1</v>
      </c>
    </row>
    <row r="46" ht="14.25" hidden="1" customHeight="1">
      <c r="A46" s="131">
        <v>42.0</v>
      </c>
      <c r="B46" s="132">
        <v>47177.0</v>
      </c>
      <c r="C46" s="146"/>
      <c r="D46" s="135">
        <f t="shared" si="1"/>
        <v>48.9</v>
      </c>
      <c r="E46" s="135">
        <f t="shared" si="2"/>
        <v>257.1</v>
      </c>
      <c r="F46" s="133">
        <f t="shared" si="3"/>
        <v>306</v>
      </c>
      <c r="G46" s="135">
        <f t="shared" si="4"/>
        <v>4628</v>
      </c>
    </row>
    <row r="47" ht="14.25" hidden="1" customHeight="1">
      <c r="A47" s="131">
        <v>43.0</v>
      </c>
      <c r="B47" s="132">
        <v>47206.0</v>
      </c>
      <c r="C47" s="146"/>
      <c r="D47" s="135">
        <f t="shared" si="1"/>
        <v>46.3</v>
      </c>
      <c r="E47" s="135">
        <f t="shared" si="2"/>
        <v>257.1</v>
      </c>
      <c r="F47" s="133">
        <f t="shared" si="3"/>
        <v>303.4</v>
      </c>
      <c r="G47" s="135">
        <f t="shared" si="4"/>
        <v>4370.9</v>
      </c>
    </row>
    <row r="48" ht="14.25" hidden="1" customHeight="1">
      <c r="A48" s="131">
        <v>44.0</v>
      </c>
      <c r="B48" s="132">
        <v>47237.0</v>
      </c>
      <c r="C48" s="146"/>
      <c r="D48" s="135">
        <f t="shared" si="1"/>
        <v>43.7</v>
      </c>
      <c r="E48" s="135">
        <f t="shared" si="2"/>
        <v>257.1</v>
      </c>
      <c r="F48" s="133">
        <f t="shared" si="3"/>
        <v>300.8</v>
      </c>
      <c r="G48" s="135">
        <f t="shared" si="4"/>
        <v>4113.8</v>
      </c>
    </row>
    <row r="49" ht="14.25" hidden="1" customHeight="1">
      <c r="A49" s="131">
        <v>45.0</v>
      </c>
      <c r="B49" s="132">
        <v>47267.0</v>
      </c>
      <c r="C49" s="146"/>
      <c r="D49" s="135">
        <f t="shared" si="1"/>
        <v>41.1</v>
      </c>
      <c r="E49" s="135">
        <f t="shared" si="2"/>
        <v>257.1</v>
      </c>
      <c r="F49" s="133">
        <f t="shared" si="3"/>
        <v>298.2</v>
      </c>
      <c r="G49" s="135">
        <f t="shared" si="4"/>
        <v>3856.7</v>
      </c>
    </row>
    <row r="50" ht="14.25" hidden="1" customHeight="1">
      <c r="A50" s="131">
        <v>46.0</v>
      </c>
      <c r="B50" s="132">
        <v>47298.0</v>
      </c>
      <c r="C50" s="146"/>
      <c r="D50" s="135">
        <f t="shared" si="1"/>
        <v>38.6</v>
      </c>
      <c r="E50" s="135">
        <f t="shared" si="2"/>
        <v>257.1</v>
      </c>
      <c r="F50" s="133">
        <f t="shared" si="3"/>
        <v>295.7</v>
      </c>
      <c r="G50" s="135">
        <f t="shared" si="4"/>
        <v>3599.6</v>
      </c>
    </row>
    <row r="51" ht="14.25" hidden="1" customHeight="1">
      <c r="A51" s="131">
        <v>47.0</v>
      </c>
      <c r="B51" s="132">
        <v>47328.0</v>
      </c>
      <c r="C51" s="146"/>
      <c r="D51" s="135">
        <f t="shared" si="1"/>
        <v>36</v>
      </c>
      <c r="E51" s="135">
        <f t="shared" si="2"/>
        <v>257.1</v>
      </c>
      <c r="F51" s="133">
        <f t="shared" si="3"/>
        <v>293.1</v>
      </c>
      <c r="G51" s="135">
        <f t="shared" si="4"/>
        <v>3342.5</v>
      </c>
    </row>
    <row r="52" ht="14.25" hidden="1" customHeight="1">
      <c r="A52" s="131">
        <v>48.0</v>
      </c>
      <c r="B52" s="132">
        <v>47359.0</v>
      </c>
      <c r="C52" s="146"/>
      <c r="D52" s="135">
        <f t="shared" si="1"/>
        <v>33.4</v>
      </c>
      <c r="E52" s="135">
        <f t="shared" si="2"/>
        <v>257.1</v>
      </c>
      <c r="F52" s="133">
        <f t="shared" si="3"/>
        <v>290.5</v>
      </c>
      <c r="G52" s="135">
        <f t="shared" si="4"/>
        <v>3085.4</v>
      </c>
    </row>
    <row r="53" ht="14.25" hidden="1" customHeight="1">
      <c r="A53" s="131">
        <v>49.0</v>
      </c>
      <c r="B53" s="132">
        <v>47390.0</v>
      </c>
      <c r="C53" s="146"/>
      <c r="D53" s="135">
        <f t="shared" si="1"/>
        <v>30.9</v>
      </c>
      <c r="E53" s="135">
        <f t="shared" si="2"/>
        <v>257.1</v>
      </c>
      <c r="F53" s="133">
        <f t="shared" si="3"/>
        <v>288</v>
      </c>
      <c r="G53" s="135">
        <f t="shared" si="4"/>
        <v>2828.3</v>
      </c>
    </row>
    <row r="54" ht="14.25" hidden="1" customHeight="1">
      <c r="A54" s="131">
        <v>50.0</v>
      </c>
      <c r="B54" s="132">
        <v>47420.0</v>
      </c>
      <c r="C54" s="146"/>
      <c r="D54" s="135">
        <f t="shared" si="1"/>
        <v>28.3</v>
      </c>
      <c r="E54" s="135">
        <f t="shared" si="2"/>
        <v>257.1</v>
      </c>
      <c r="F54" s="133">
        <f t="shared" si="3"/>
        <v>285.4</v>
      </c>
      <c r="G54" s="135">
        <f t="shared" si="4"/>
        <v>2571.2</v>
      </c>
    </row>
    <row r="55" ht="14.25" hidden="1" customHeight="1">
      <c r="A55" s="131">
        <v>51.0</v>
      </c>
      <c r="B55" s="132">
        <v>47451.0</v>
      </c>
      <c r="C55" s="146"/>
      <c r="D55" s="135">
        <f t="shared" si="1"/>
        <v>25.7</v>
      </c>
      <c r="E55" s="135">
        <f t="shared" si="2"/>
        <v>257.1</v>
      </c>
      <c r="F55" s="133">
        <f t="shared" si="3"/>
        <v>282.8</v>
      </c>
      <c r="G55" s="135">
        <f t="shared" si="4"/>
        <v>2314.1</v>
      </c>
    </row>
    <row r="56" ht="14.25" hidden="1" customHeight="1">
      <c r="A56" s="131">
        <v>52.0</v>
      </c>
      <c r="B56" s="132">
        <v>47481.0</v>
      </c>
      <c r="C56" s="146"/>
      <c r="D56" s="135">
        <f t="shared" si="1"/>
        <v>23.1</v>
      </c>
      <c r="E56" s="135">
        <f t="shared" si="2"/>
        <v>257.1</v>
      </c>
      <c r="F56" s="133">
        <f t="shared" si="3"/>
        <v>280.2</v>
      </c>
      <c r="G56" s="135">
        <f t="shared" si="4"/>
        <v>2057</v>
      </c>
    </row>
    <row r="57" ht="14.25" hidden="1" customHeight="1">
      <c r="A57" s="131">
        <v>53.0</v>
      </c>
      <c r="B57" s="132">
        <v>47512.0</v>
      </c>
      <c r="C57" s="146"/>
      <c r="D57" s="135">
        <f t="shared" si="1"/>
        <v>20.6</v>
      </c>
      <c r="E57" s="135">
        <f t="shared" si="2"/>
        <v>257.1</v>
      </c>
      <c r="F57" s="133">
        <f t="shared" si="3"/>
        <v>277.7</v>
      </c>
      <c r="G57" s="135">
        <f t="shared" si="4"/>
        <v>1799.9</v>
      </c>
    </row>
    <row r="58" ht="14.25" hidden="1" customHeight="1">
      <c r="A58" s="131">
        <v>54.0</v>
      </c>
      <c r="B58" s="132">
        <v>47542.0</v>
      </c>
      <c r="C58" s="146"/>
      <c r="D58" s="135">
        <f t="shared" si="1"/>
        <v>18</v>
      </c>
      <c r="E58" s="135">
        <f t="shared" si="2"/>
        <v>257.1</v>
      </c>
      <c r="F58" s="133">
        <f t="shared" si="3"/>
        <v>275.1</v>
      </c>
      <c r="G58" s="135">
        <f t="shared" si="4"/>
        <v>1542.8</v>
      </c>
    </row>
    <row r="59" ht="14.25" hidden="1" customHeight="1">
      <c r="A59" s="131">
        <v>55.0</v>
      </c>
      <c r="B59" s="132">
        <v>47571.0</v>
      </c>
      <c r="C59" s="146"/>
      <c r="D59" s="135">
        <f t="shared" si="1"/>
        <v>15.4</v>
      </c>
      <c r="E59" s="135">
        <f t="shared" si="2"/>
        <v>257.1</v>
      </c>
      <c r="F59" s="133">
        <f t="shared" si="3"/>
        <v>272.5</v>
      </c>
      <c r="G59" s="135">
        <f t="shared" si="4"/>
        <v>1285.7</v>
      </c>
    </row>
    <row r="60" ht="14.25" hidden="1" customHeight="1">
      <c r="A60" s="131">
        <v>56.0</v>
      </c>
      <c r="B60" s="132">
        <v>47602.0</v>
      </c>
      <c r="C60" s="146"/>
      <c r="D60" s="135">
        <f t="shared" si="1"/>
        <v>12.9</v>
      </c>
      <c r="E60" s="135">
        <f t="shared" si="2"/>
        <v>257.1</v>
      </c>
      <c r="F60" s="133">
        <f t="shared" si="3"/>
        <v>270</v>
      </c>
      <c r="G60" s="135">
        <f t="shared" si="4"/>
        <v>1028.6</v>
      </c>
    </row>
    <row r="61" ht="14.25" hidden="1" customHeight="1">
      <c r="A61" s="131">
        <v>57.0</v>
      </c>
      <c r="B61" s="132">
        <v>47632.0</v>
      </c>
      <c r="C61" s="146"/>
      <c r="D61" s="135">
        <f t="shared" si="1"/>
        <v>10.3</v>
      </c>
      <c r="E61" s="135">
        <f t="shared" si="2"/>
        <v>257.1</v>
      </c>
      <c r="F61" s="133">
        <f t="shared" si="3"/>
        <v>267.4</v>
      </c>
      <c r="G61" s="135">
        <f t="shared" si="4"/>
        <v>771.5</v>
      </c>
    </row>
    <row r="62" ht="14.25" hidden="1" customHeight="1">
      <c r="A62" s="131">
        <v>58.0</v>
      </c>
      <c r="B62" s="132">
        <v>47663.0</v>
      </c>
      <c r="C62" s="146"/>
      <c r="D62" s="135">
        <f t="shared" si="1"/>
        <v>7.7</v>
      </c>
      <c r="E62" s="135">
        <f t="shared" si="2"/>
        <v>257.1</v>
      </c>
      <c r="F62" s="133">
        <f t="shared" si="3"/>
        <v>264.8</v>
      </c>
      <c r="G62" s="135">
        <f t="shared" si="4"/>
        <v>514.4</v>
      </c>
    </row>
    <row r="63" ht="14.25" hidden="1" customHeight="1">
      <c r="A63" s="131">
        <v>59.0</v>
      </c>
      <c r="B63" s="132">
        <v>47693.0</v>
      </c>
      <c r="C63" s="146"/>
      <c r="D63" s="135">
        <f t="shared" si="1"/>
        <v>5.1</v>
      </c>
      <c r="E63" s="135">
        <f t="shared" si="2"/>
        <v>257.1</v>
      </c>
      <c r="F63" s="133">
        <f t="shared" si="3"/>
        <v>262.2</v>
      </c>
      <c r="G63" s="135">
        <f t="shared" si="4"/>
        <v>257.3</v>
      </c>
    </row>
    <row r="64" ht="14.25" hidden="1" customHeight="1">
      <c r="A64" s="131">
        <v>60.0</v>
      </c>
      <c r="B64" s="132">
        <v>47724.0</v>
      </c>
      <c r="C64" s="146"/>
      <c r="D64" s="135">
        <f t="shared" si="1"/>
        <v>2.6</v>
      </c>
      <c r="E64" s="135">
        <f>ROUNDDOWN($C$4/60,1)+0.2</f>
        <v>257.3</v>
      </c>
      <c r="F64" s="133">
        <f t="shared" si="3"/>
        <v>259.9</v>
      </c>
      <c r="G64" s="135">
        <f t="shared" si="4"/>
        <v>0</v>
      </c>
    </row>
    <row r="65" ht="14.25" customHeight="1">
      <c r="A65" s="129" t="s">
        <v>252</v>
      </c>
      <c r="B65" s="2"/>
      <c r="C65" s="3"/>
      <c r="D65" s="147">
        <f t="shared" ref="D65:F65" si="5">+SUM(D5:D64)</f>
        <v>4705.1</v>
      </c>
      <c r="E65" s="147">
        <f t="shared" si="5"/>
        <v>15426.2</v>
      </c>
      <c r="F65" s="147">
        <f t="shared" si="5"/>
        <v>20131.3</v>
      </c>
      <c r="G65" s="148"/>
    </row>
    <row r="66" ht="14.25" customHeight="1"/>
    <row r="67" ht="14.25" customHeight="1">
      <c r="A67" s="150" t="s">
        <v>333</v>
      </c>
      <c r="B67" s="2"/>
      <c r="C67" s="2"/>
      <c r="D67" s="2"/>
      <c r="E67" s="2"/>
      <c r="F67" s="2"/>
      <c r="G67" s="3"/>
    </row>
    <row r="68" ht="14.25" customHeight="1">
      <c r="A68" s="130" t="s">
        <v>326</v>
      </c>
      <c r="B68" s="130" t="s">
        <v>256</v>
      </c>
      <c r="C68" s="130" t="s">
        <v>327</v>
      </c>
      <c r="D68" s="130" t="s">
        <v>328</v>
      </c>
      <c r="E68" s="130" t="s">
        <v>329</v>
      </c>
      <c r="F68" s="130" t="s">
        <v>330</v>
      </c>
      <c r="G68" s="130" t="s">
        <v>209</v>
      </c>
    </row>
    <row r="69" ht="14.25" customHeight="1">
      <c r="A69" s="131">
        <v>0.0</v>
      </c>
      <c r="B69" s="132">
        <v>45898.0</v>
      </c>
      <c r="C69" s="133">
        <f>+J72</f>
        <v>28883.6</v>
      </c>
      <c r="D69" s="134">
        <v>0.01</v>
      </c>
      <c r="E69" s="135"/>
      <c r="F69" s="135"/>
      <c r="G69" s="135">
        <f>+C69</f>
        <v>28883.6</v>
      </c>
    </row>
    <row r="70" ht="14.25" customHeight="1">
      <c r="A70" s="131">
        <v>1.0</v>
      </c>
      <c r="B70" s="132">
        <v>45929.0</v>
      </c>
      <c r="C70" s="146"/>
      <c r="D70" s="135">
        <f t="shared" ref="D70:D129" si="6">+ROUND(G69*0.01,1)</f>
        <v>288.8</v>
      </c>
      <c r="E70" s="135">
        <f t="shared" ref="E70:E128" si="7">ROUND($C$69/60,1)</f>
        <v>481.4</v>
      </c>
      <c r="F70" s="133">
        <f t="shared" ref="F70:F129" si="8">+ROUND(D70+E70,1)</f>
        <v>770.2</v>
      </c>
      <c r="G70" s="135">
        <f t="shared" ref="G70:G129" si="9">+ROUND(G69-E70,1)</f>
        <v>28402.2</v>
      </c>
      <c r="I70" s="140" t="s">
        <v>209</v>
      </c>
      <c r="J70" s="141">
        <f>J10</f>
        <v>13883.6</v>
      </c>
    </row>
    <row r="71" ht="14.25" customHeight="1">
      <c r="A71" s="131">
        <v>2.0</v>
      </c>
      <c r="B71" s="132">
        <v>45959.0</v>
      </c>
      <c r="C71" s="146"/>
      <c r="D71" s="135">
        <f t="shared" si="6"/>
        <v>284</v>
      </c>
      <c r="E71" s="135">
        <f t="shared" si="7"/>
        <v>481.4</v>
      </c>
      <c r="F71" s="133">
        <f t="shared" si="8"/>
        <v>765.4</v>
      </c>
      <c r="G71" s="135">
        <f t="shared" si="9"/>
        <v>27920.8</v>
      </c>
      <c r="I71" s="140" t="s">
        <v>331</v>
      </c>
      <c r="J71" s="151">
        <v>15000.0</v>
      </c>
    </row>
    <row r="72" ht="14.25" customHeight="1">
      <c r="A72" s="131">
        <v>3.0</v>
      </c>
      <c r="B72" s="132">
        <v>45990.0</v>
      </c>
      <c r="C72" s="146"/>
      <c r="D72" s="135">
        <f t="shared" si="6"/>
        <v>279.2</v>
      </c>
      <c r="E72" s="135">
        <f t="shared" si="7"/>
        <v>481.4</v>
      </c>
      <c r="F72" s="133">
        <f t="shared" si="8"/>
        <v>760.6</v>
      </c>
      <c r="G72" s="135">
        <f t="shared" si="9"/>
        <v>27439.4</v>
      </c>
      <c r="I72" s="142" t="s">
        <v>252</v>
      </c>
      <c r="J72" s="143">
        <f>+SUM(J70:J71)</f>
        <v>28883.6</v>
      </c>
    </row>
    <row r="73" ht="14.25" customHeight="1">
      <c r="A73" s="131">
        <v>4.0</v>
      </c>
      <c r="B73" s="132">
        <v>46020.0</v>
      </c>
      <c r="C73" s="146"/>
      <c r="D73" s="135">
        <f t="shared" si="6"/>
        <v>274.4</v>
      </c>
      <c r="E73" s="135">
        <f t="shared" si="7"/>
        <v>481.4</v>
      </c>
      <c r="F73" s="133">
        <f t="shared" si="8"/>
        <v>755.8</v>
      </c>
      <c r="G73" s="135">
        <f t="shared" si="9"/>
        <v>26958</v>
      </c>
    </row>
    <row r="74" ht="14.25" customHeight="1">
      <c r="A74" s="131">
        <v>5.0</v>
      </c>
      <c r="B74" s="132">
        <v>46051.0</v>
      </c>
      <c r="C74" s="146"/>
      <c r="D74" s="135">
        <f t="shared" si="6"/>
        <v>269.6</v>
      </c>
      <c r="E74" s="135">
        <f t="shared" si="7"/>
        <v>481.4</v>
      </c>
      <c r="F74" s="133">
        <f t="shared" si="8"/>
        <v>751</v>
      </c>
      <c r="G74" s="135">
        <f t="shared" si="9"/>
        <v>26476.6</v>
      </c>
    </row>
    <row r="75" ht="14.25" customHeight="1">
      <c r="A75" s="131">
        <v>6.0</v>
      </c>
      <c r="B75" s="132">
        <v>46081.0</v>
      </c>
      <c r="C75" s="146"/>
      <c r="D75" s="135">
        <f t="shared" si="6"/>
        <v>264.8</v>
      </c>
      <c r="E75" s="135">
        <f t="shared" si="7"/>
        <v>481.4</v>
      </c>
      <c r="F75" s="133">
        <f t="shared" si="8"/>
        <v>746.2</v>
      </c>
      <c r="G75" s="135">
        <f t="shared" si="9"/>
        <v>25995.2</v>
      </c>
    </row>
    <row r="76" ht="14.25" customHeight="1">
      <c r="A76" s="131">
        <v>7.0</v>
      </c>
      <c r="B76" s="132">
        <v>46110.0</v>
      </c>
      <c r="C76" s="146"/>
      <c r="D76" s="135">
        <f t="shared" si="6"/>
        <v>260</v>
      </c>
      <c r="E76" s="135">
        <f t="shared" si="7"/>
        <v>481.4</v>
      </c>
      <c r="F76" s="133">
        <f t="shared" si="8"/>
        <v>741.4</v>
      </c>
      <c r="G76" s="135">
        <f t="shared" si="9"/>
        <v>25513.8</v>
      </c>
    </row>
    <row r="77" ht="14.25" customHeight="1">
      <c r="A77" s="131">
        <v>8.0</v>
      </c>
      <c r="B77" s="132">
        <v>46141.0</v>
      </c>
      <c r="C77" s="146"/>
      <c r="D77" s="135">
        <f t="shared" si="6"/>
        <v>255.1</v>
      </c>
      <c r="E77" s="135">
        <f t="shared" si="7"/>
        <v>481.4</v>
      </c>
      <c r="F77" s="133">
        <f t="shared" si="8"/>
        <v>736.5</v>
      </c>
      <c r="G77" s="135">
        <f t="shared" si="9"/>
        <v>25032.4</v>
      </c>
    </row>
    <row r="78" ht="14.25" customHeight="1">
      <c r="A78" s="131">
        <v>9.0</v>
      </c>
      <c r="B78" s="132">
        <v>46171.0</v>
      </c>
      <c r="C78" s="146"/>
      <c r="D78" s="135">
        <f t="shared" si="6"/>
        <v>250.3</v>
      </c>
      <c r="E78" s="135">
        <f t="shared" si="7"/>
        <v>481.4</v>
      </c>
      <c r="F78" s="133">
        <f t="shared" si="8"/>
        <v>731.7</v>
      </c>
      <c r="G78" s="135">
        <f t="shared" si="9"/>
        <v>24551</v>
      </c>
    </row>
    <row r="79" ht="14.25" customHeight="1">
      <c r="A79" s="131">
        <v>10.0</v>
      </c>
      <c r="B79" s="132">
        <v>46202.0</v>
      </c>
      <c r="C79" s="146"/>
      <c r="D79" s="135">
        <f t="shared" si="6"/>
        <v>245.5</v>
      </c>
      <c r="E79" s="135">
        <f t="shared" si="7"/>
        <v>481.4</v>
      </c>
      <c r="F79" s="133">
        <f t="shared" si="8"/>
        <v>726.9</v>
      </c>
      <c r="G79" s="135">
        <f t="shared" si="9"/>
        <v>24069.6</v>
      </c>
    </row>
    <row r="80" ht="14.25" customHeight="1">
      <c r="A80" s="131">
        <v>11.0</v>
      </c>
      <c r="B80" s="132">
        <v>46232.0</v>
      </c>
      <c r="C80" s="146"/>
      <c r="D80" s="135">
        <f t="shared" si="6"/>
        <v>240.7</v>
      </c>
      <c r="E80" s="135">
        <f t="shared" si="7"/>
        <v>481.4</v>
      </c>
      <c r="F80" s="133">
        <f t="shared" si="8"/>
        <v>722.1</v>
      </c>
      <c r="G80" s="135">
        <f t="shared" si="9"/>
        <v>23588.2</v>
      </c>
    </row>
    <row r="81" ht="14.25" customHeight="1">
      <c r="A81" s="131">
        <v>12.0</v>
      </c>
      <c r="B81" s="132">
        <v>46263.0</v>
      </c>
      <c r="C81" s="146"/>
      <c r="D81" s="135">
        <f t="shared" si="6"/>
        <v>235.9</v>
      </c>
      <c r="E81" s="135">
        <f t="shared" si="7"/>
        <v>481.4</v>
      </c>
      <c r="F81" s="133">
        <f t="shared" si="8"/>
        <v>717.3</v>
      </c>
      <c r="G81" s="135">
        <f t="shared" si="9"/>
        <v>23106.8</v>
      </c>
    </row>
    <row r="82" ht="14.25" customHeight="1">
      <c r="A82" s="131">
        <v>13.0</v>
      </c>
      <c r="B82" s="132">
        <v>46294.0</v>
      </c>
      <c r="C82" s="146"/>
      <c r="D82" s="135">
        <f t="shared" si="6"/>
        <v>231.1</v>
      </c>
      <c r="E82" s="135">
        <f t="shared" si="7"/>
        <v>481.4</v>
      </c>
      <c r="F82" s="133">
        <f t="shared" si="8"/>
        <v>712.5</v>
      </c>
      <c r="G82" s="135">
        <f t="shared" si="9"/>
        <v>22625.4</v>
      </c>
    </row>
    <row r="83" ht="14.25" customHeight="1">
      <c r="A83" s="131">
        <v>14.0</v>
      </c>
      <c r="B83" s="132">
        <v>46324.0</v>
      </c>
      <c r="C83" s="146"/>
      <c r="D83" s="135">
        <f t="shared" si="6"/>
        <v>226.3</v>
      </c>
      <c r="E83" s="135">
        <f t="shared" si="7"/>
        <v>481.4</v>
      </c>
      <c r="F83" s="133">
        <f t="shared" si="8"/>
        <v>707.7</v>
      </c>
      <c r="G83" s="135">
        <f t="shared" si="9"/>
        <v>22144</v>
      </c>
    </row>
    <row r="84" ht="14.25" customHeight="1">
      <c r="A84" s="131">
        <v>15.0</v>
      </c>
      <c r="B84" s="132">
        <v>46355.0</v>
      </c>
      <c r="C84" s="146"/>
      <c r="D84" s="135">
        <f t="shared" si="6"/>
        <v>221.4</v>
      </c>
      <c r="E84" s="135">
        <f t="shared" si="7"/>
        <v>481.4</v>
      </c>
      <c r="F84" s="133">
        <f t="shared" si="8"/>
        <v>702.8</v>
      </c>
      <c r="G84" s="135">
        <f t="shared" si="9"/>
        <v>21662.6</v>
      </c>
    </row>
    <row r="85" ht="14.25" customHeight="1">
      <c r="A85" s="131">
        <v>16.0</v>
      </c>
      <c r="B85" s="132">
        <v>46385.0</v>
      </c>
      <c r="C85" s="146"/>
      <c r="D85" s="135">
        <f t="shared" si="6"/>
        <v>216.6</v>
      </c>
      <c r="E85" s="135">
        <f t="shared" si="7"/>
        <v>481.4</v>
      </c>
      <c r="F85" s="133">
        <f t="shared" si="8"/>
        <v>698</v>
      </c>
      <c r="G85" s="135">
        <f t="shared" si="9"/>
        <v>21181.2</v>
      </c>
    </row>
    <row r="86" ht="14.25" customHeight="1">
      <c r="A86" s="131">
        <v>17.0</v>
      </c>
      <c r="B86" s="132">
        <v>46416.0</v>
      </c>
      <c r="C86" s="146"/>
      <c r="D86" s="135">
        <f t="shared" si="6"/>
        <v>211.8</v>
      </c>
      <c r="E86" s="135">
        <f t="shared" si="7"/>
        <v>481.4</v>
      </c>
      <c r="F86" s="133">
        <f t="shared" si="8"/>
        <v>693.2</v>
      </c>
      <c r="G86" s="135">
        <f t="shared" si="9"/>
        <v>20699.8</v>
      </c>
    </row>
    <row r="87" ht="14.25" customHeight="1">
      <c r="A87" s="131">
        <v>18.0</v>
      </c>
      <c r="B87" s="132">
        <v>46446.0</v>
      </c>
      <c r="C87" s="146"/>
      <c r="D87" s="135">
        <f t="shared" si="6"/>
        <v>207</v>
      </c>
      <c r="E87" s="135">
        <f t="shared" si="7"/>
        <v>481.4</v>
      </c>
      <c r="F87" s="133">
        <f t="shared" si="8"/>
        <v>688.4</v>
      </c>
      <c r="G87" s="135">
        <f t="shared" si="9"/>
        <v>20218.4</v>
      </c>
    </row>
    <row r="88" ht="14.25" customHeight="1">
      <c r="A88" s="131">
        <v>19.0</v>
      </c>
      <c r="B88" s="132">
        <v>46475.0</v>
      </c>
      <c r="C88" s="146"/>
      <c r="D88" s="135">
        <f t="shared" si="6"/>
        <v>202.2</v>
      </c>
      <c r="E88" s="135">
        <f t="shared" si="7"/>
        <v>481.4</v>
      </c>
      <c r="F88" s="133">
        <f t="shared" si="8"/>
        <v>683.6</v>
      </c>
      <c r="G88" s="135">
        <f t="shared" si="9"/>
        <v>19737</v>
      </c>
    </row>
    <row r="89" ht="14.25" customHeight="1">
      <c r="A89" s="131">
        <v>20.0</v>
      </c>
      <c r="B89" s="132">
        <v>46506.0</v>
      </c>
      <c r="C89" s="146"/>
      <c r="D89" s="135">
        <f t="shared" si="6"/>
        <v>197.4</v>
      </c>
      <c r="E89" s="135">
        <f t="shared" si="7"/>
        <v>481.4</v>
      </c>
      <c r="F89" s="133">
        <f t="shared" si="8"/>
        <v>678.8</v>
      </c>
      <c r="G89" s="135">
        <f t="shared" si="9"/>
        <v>19255.6</v>
      </c>
    </row>
    <row r="90" ht="14.25" customHeight="1">
      <c r="A90" s="131">
        <v>21.0</v>
      </c>
      <c r="B90" s="132">
        <v>46536.0</v>
      </c>
      <c r="C90" s="146"/>
      <c r="D90" s="135">
        <f t="shared" si="6"/>
        <v>192.6</v>
      </c>
      <c r="E90" s="135">
        <f t="shared" si="7"/>
        <v>481.4</v>
      </c>
      <c r="F90" s="133">
        <f t="shared" si="8"/>
        <v>674</v>
      </c>
      <c r="G90" s="135">
        <f t="shared" si="9"/>
        <v>18774.2</v>
      </c>
    </row>
    <row r="91" ht="14.25" customHeight="1">
      <c r="A91" s="131">
        <v>22.0</v>
      </c>
      <c r="B91" s="132">
        <v>46567.0</v>
      </c>
      <c r="C91" s="146"/>
      <c r="D91" s="135">
        <f t="shared" si="6"/>
        <v>187.7</v>
      </c>
      <c r="E91" s="135">
        <f t="shared" si="7"/>
        <v>481.4</v>
      </c>
      <c r="F91" s="133">
        <f t="shared" si="8"/>
        <v>669.1</v>
      </c>
      <c r="G91" s="135">
        <f t="shared" si="9"/>
        <v>18292.8</v>
      </c>
    </row>
    <row r="92" ht="14.25" customHeight="1">
      <c r="A92" s="131">
        <v>23.0</v>
      </c>
      <c r="B92" s="132">
        <v>46597.0</v>
      </c>
      <c r="C92" s="146"/>
      <c r="D92" s="135">
        <f t="shared" si="6"/>
        <v>182.9</v>
      </c>
      <c r="E92" s="135">
        <f t="shared" si="7"/>
        <v>481.4</v>
      </c>
      <c r="F92" s="133">
        <f t="shared" si="8"/>
        <v>664.3</v>
      </c>
      <c r="G92" s="135">
        <f t="shared" si="9"/>
        <v>17811.4</v>
      </c>
    </row>
    <row r="93" ht="14.25" customHeight="1">
      <c r="A93" s="131">
        <v>24.0</v>
      </c>
      <c r="B93" s="132">
        <v>46628.0</v>
      </c>
      <c r="C93" s="146"/>
      <c r="D93" s="135">
        <f t="shared" si="6"/>
        <v>178.1</v>
      </c>
      <c r="E93" s="135">
        <f t="shared" si="7"/>
        <v>481.4</v>
      </c>
      <c r="F93" s="133">
        <f t="shared" si="8"/>
        <v>659.5</v>
      </c>
      <c r="G93" s="135">
        <f t="shared" si="9"/>
        <v>17330</v>
      </c>
    </row>
    <row r="94" ht="14.25" customHeight="1">
      <c r="A94" s="131">
        <v>25.0</v>
      </c>
      <c r="B94" s="132">
        <v>46659.0</v>
      </c>
      <c r="C94" s="146"/>
      <c r="D94" s="135">
        <f t="shared" si="6"/>
        <v>173.3</v>
      </c>
      <c r="E94" s="135">
        <f t="shared" si="7"/>
        <v>481.4</v>
      </c>
      <c r="F94" s="133">
        <f t="shared" si="8"/>
        <v>654.7</v>
      </c>
      <c r="G94" s="135">
        <f t="shared" si="9"/>
        <v>16848.6</v>
      </c>
    </row>
    <row r="95" ht="14.25" customHeight="1">
      <c r="A95" s="131">
        <v>26.0</v>
      </c>
      <c r="B95" s="132">
        <v>46689.0</v>
      </c>
      <c r="C95" s="146"/>
      <c r="D95" s="135">
        <f t="shared" si="6"/>
        <v>168.5</v>
      </c>
      <c r="E95" s="135">
        <f t="shared" si="7"/>
        <v>481.4</v>
      </c>
      <c r="F95" s="133">
        <f t="shared" si="8"/>
        <v>649.9</v>
      </c>
      <c r="G95" s="135">
        <f t="shared" si="9"/>
        <v>16367.2</v>
      </c>
    </row>
    <row r="96" ht="14.25" customHeight="1">
      <c r="A96" s="131">
        <v>27.0</v>
      </c>
      <c r="B96" s="132">
        <v>46720.0</v>
      </c>
      <c r="C96" s="146"/>
      <c r="D96" s="135">
        <f t="shared" si="6"/>
        <v>163.7</v>
      </c>
      <c r="E96" s="135">
        <f t="shared" si="7"/>
        <v>481.4</v>
      </c>
      <c r="F96" s="133">
        <f t="shared" si="8"/>
        <v>645.1</v>
      </c>
      <c r="G96" s="135">
        <f t="shared" si="9"/>
        <v>15885.8</v>
      </c>
    </row>
    <row r="97" ht="14.25" customHeight="1">
      <c r="A97" s="131">
        <v>28.0</v>
      </c>
      <c r="B97" s="132">
        <v>46750.0</v>
      </c>
      <c r="C97" s="146"/>
      <c r="D97" s="135">
        <f t="shared" si="6"/>
        <v>158.9</v>
      </c>
      <c r="E97" s="135">
        <f t="shared" si="7"/>
        <v>481.4</v>
      </c>
      <c r="F97" s="133">
        <f t="shared" si="8"/>
        <v>640.3</v>
      </c>
      <c r="G97" s="135">
        <f t="shared" si="9"/>
        <v>15404.4</v>
      </c>
    </row>
    <row r="98" ht="14.25" customHeight="1">
      <c r="A98" s="131">
        <v>29.0</v>
      </c>
      <c r="B98" s="132">
        <v>46781.0</v>
      </c>
      <c r="C98" s="146"/>
      <c r="D98" s="135">
        <f t="shared" si="6"/>
        <v>154</v>
      </c>
      <c r="E98" s="135">
        <f t="shared" si="7"/>
        <v>481.4</v>
      </c>
      <c r="F98" s="133">
        <f t="shared" si="8"/>
        <v>635.4</v>
      </c>
      <c r="G98" s="135">
        <f t="shared" si="9"/>
        <v>14923</v>
      </c>
    </row>
    <row r="99" ht="14.25" customHeight="1">
      <c r="A99" s="131">
        <v>30.0</v>
      </c>
      <c r="B99" s="132">
        <v>46812.0</v>
      </c>
      <c r="C99" s="146"/>
      <c r="D99" s="135">
        <f t="shared" si="6"/>
        <v>149.2</v>
      </c>
      <c r="E99" s="135">
        <f t="shared" si="7"/>
        <v>481.4</v>
      </c>
      <c r="F99" s="133">
        <f t="shared" si="8"/>
        <v>630.6</v>
      </c>
      <c r="G99" s="135">
        <f t="shared" si="9"/>
        <v>14441.6</v>
      </c>
    </row>
    <row r="100" ht="14.25" customHeight="1">
      <c r="A100" s="131">
        <v>31.0</v>
      </c>
      <c r="B100" s="132">
        <v>46841.0</v>
      </c>
      <c r="C100" s="146"/>
      <c r="D100" s="135">
        <f t="shared" si="6"/>
        <v>144.4</v>
      </c>
      <c r="E100" s="135">
        <f t="shared" si="7"/>
        <v>481.4</v>
      </c>
      <c r="F100" s="133">
        <f t="shared" si="8"/>
        <v>625.8</v>
      </c>
      <c r="G100" s="135">
        <f t="shared" si="9"/>
        <v>13960.2</v>
      </c>
    </row>
    <row r="101" ht="14.25" customHeight="1">
      <c r="A101" s="131">
        <v>32.0</v>
      </c>
      <c r="B101" s="132">
        <v>46872.0</v>
      </c>
      <c r="C101" s="146"/>
      <c r="D101" s="135">
        <f t="shared" si="6"/>
        <v>139.6</v>
      </c>
      <c r="E101" s="135">
        <f t="shared" si="7"/>
        <v>481.4</v>
      </c>
      <c r="F101" s="133">
        <f t="shared" si="8"/>
        <v>621</v>
      </c>
      <c r="G101" s="135">
        <f t="shared" si="9"/>
        <v>13478.8</v>
      </c>
    </row>
    <row r="102" ht="14.25" customHeight="1">
      <c r="A102" s="131">
        <v>33.0</v>
      </c>
      <c r="B102" s="132">
        <v>46902.0</v>
      </c>
      <c r="C102" s="146"/>
      <c r="D102" s="135">
        <f t="shared" si="6"/>
        <v>134.8</v>
      </c>
      <c r="E102" s="135">
        <f t="shared" si="7"/>
        <v>481.4</v>
      </c>
      <c r="F102" s="133">
        <f t="shared" si="8"/>
        <v>616.2</v>
      </c>
      <c r="G102" s="135">
        <f t="shared" si="9"/>
        <v>12997.4</v>
      </c>
    </row>
    <row r="103" ht="14.25" customHeight="1">
      <c r="A103" s="131">
        <v>34.0</v>
      </c>
      <c r="B103" s="132">
        <v>46933.0</v>
      </c>
      <c r="C103" s="146"/>
      <c r="D103" s="135">
        <f t="shared" si="6"/>
        <v>130</v>
      </c>
      <c r="E103" s="135">
        <f t="shared" si="7"/>
        <v>481.4</v>
      </c>
      <c r="F103" s="133">
        <f t="shared" si="8"/>
        <v>611.4</v>
      </c>
      <c r="G103" s="135">
        <f t="shared" si="9"/>
        <v>12516</v>
      </c>
    </row>
    <row r="104" ht="14.25" customHeight="1">
      <c r="A104" s="131">
        <v>35.0</v>
      </c>
      <c r="B104" s="132">
        <v>46963.0</v>
      </c>
      <c r="C104" s="146"/>
      <c r="D104" s="135">
        <f t="shared" si="6"/>
        <v>125.2</v>
      </c>
      <c r="E104" s="135">
        <f t="shared" si="7"/>
        <v>481.4</v>
      </c>
      <c r="F104" s="133">
        <f t="shared" si="8"/>
        <v>606.6</v>
      </c>
      <c r="G104" s="135">
        <f t="shared" si="9"/>
        <v>12034.6</v>
      </c>
    </row>
    <row r="105" ht="14.25" customHeight="1">
      <c r="A105" s="131">
        <v>36.0</v>
      </c>
      <c r="B105" s="132">
        <v>46994.0</v>
      </c>
      <c r="C105" s="146"/>
      <c r="D105" s="135">
        <f t="shared" si="6"/>
        <v>120.3</v>
      </c>
      <c r="E105" s="135">
        <f t="shared" si="7"/>
        <v>481.4</v>
      </c>
      <c r="F105" s="133">
        <f t="shared" si="8"/>
        <v>601.7</v>
      </c>
      <c r="G105" s="135">
        <f t="shared" si="9"/>
        <v>11553.2</v>
      </c>
    </row>
    <row r="106" ht="14.25" customHeight="1">
      <c r="A106" s="131">
        <v>37.0</v>
      </c>
      <c r="B106" s="132">
        <v>47025.0</v>
      </c>
      <c r="C106" s="146"/>
      <c r="D106" s="135">
        <f t="shared" si="6"/>
        <v>115.5</v>
      </c>
      <c r="E106" s="135">
        <f t="shared" si="7"/>
        <v>481.4</v>
      </c>
      <c r="F106" s="133">
        <f t="shared" si="8"/>
        <v>596.9</v>
      </c>
      <c r="G106" s="135">
        <f t="shared" si="9"/>
        <v>11071.8</v>
      </c>
    </row>
    <row r="107" ht="14.25" customHeight="1">
      <c r="A107" s="131">
        <v>38.0</v>
      </c>
      <c r="B107" s="132">
        <v>47055.0</v>
      </c>
      <c r="C107" s="146"/>
      <c r="D107" s="135">
        <f t="shared" si="6"/>
        <v>110.7</v>
      </c>
      <c r="E107" s="135">
        <f t="shared" si="7"/>
        <v>481.4</v>
      </c>
      <c r="F107" s="133">
        <f t="shared" si="8"/>
        <v>592.1</v>
      </c>
      <c r="G107" s="135">
        <f t="shared" si="9"/>
        <v>10590.4</v>
      </c>
    </row>
    <row r="108" ht="14.25" customHeight="1">
      <c r="A108" s="131">
        <v>39.0</v>
      </c>
      <c r="B108" s="132">
        <v>47086.0</v>
      </c>
      <c r="C108" s="146"/>
      <c r="D108" s="135">
        <f t="shared" si="6"/>
        <v>105.9</v>
      </c>
      <c r="E108" s="135">
        <f t="shared" si="7"/>
        <v>481.4</v>
      </c>
      <c r="F108" s="133">
        <f t="shared" si="8"/>
        <v>587.3</v>
      </c>
      <c r="G108" s="135">
        <f t="shared" si="9"/>
        <v>10109</v>
      </c>
    </row>
    <row r="109" ht="14.25" customHeight="1">
      <c r="A109" s="131">
        <v>40.0</v>
      </c>
      <c r="B109" s="132">
        <v>47116.0</v>
      </c>
      <c r="C109" s="146"/>
      <c r="D109" s="135">
        <f t="shared" si="6"/>
        <v>101.1</v>
      </c>
      <c r="E109" s="135">
        <f t="shared" si="7"/>
        <v>481.4</v>
      </c>
      <c r="F109" s="133">
        <f t="shared" si="8"/>
        <v>582.5</v>
      </c>
      <c r="G109" s="135">
        <f t="shared" si="9"/>
        <v>9627.6</v>
      </c>
    </row>
    <row r="110" ht="14.25" customHeight="1">
      <c r="A110" s="131">
        <v>41.0</v>
      </c>
      <c r="B110" s="132">
        <v>47147.0</v>
      </c>
      <c r="C110" s="146"/>
      <c r="D110" s="135">
        <f t="shared" si="6"/>
        <v>96.3</v>
      </c>
      <c r="E110" s="135">
        <f t="shared" si="7"/>
        <v>481.4</v>
      </c>
      <c r="F110" s="133">
        <f t="shared" si="8"/>
        <v>577.7</v>
      </c>
      <c r="G110" s="135">
        <f t="shared" si="9"/>
        <v>9146.2</v>
      </c>
    </row>
    <row r="111" ht="14.25" customHeight="1">
      <c r="A111" s="131">
        <v>42.0</v>
      </c>
      <c r="B111" s="132">
        <v>47177.0</v>
      </c>
      <c r="C111" s="146"/>
      <c r="D111" s="135">
        <f t="shared" si="6"/>
        <v>91.5</v>
      </c>
      <c r="E111" s="135">
        <f t="shared" si="7"/>
        <v>481.4</v>
      </c>
      <c r="F111" s="133">
        <f t="shared" si="8"/>
        <v>572.9</v>
      </c>
      <c r="G111" s="135">
        <f t="shared" si="9"/>
        <v>8664.8</v>
      </c>
    </row>
    <row r="112" ht="14.25" customHeight="1">
      <c r="A112" s="131">
        <v>43.0</v>
      </c>
      <c r="B112" s="132">
        <v>47206.0</v>
      </c>
      <c r="C112" s="146"/>
      <c r="D112" s="135">
        <f t="shared" si="6"/>
        <v>86.6</v>
      </c>
      <c r="E112" s="135">
        <f t="shared" si="7"/>
        <v>481.4</v>
      </c>
      <c r="F112" s="133">
        <f t="shared" si="8"/>
        <v>568</v>
      </c>
      <c r="G112" s="135">
        <f t="shared" si="9"/>
        <v>8183.4</v>
      </c>
    </row>
    <row r="113" ht="14.25" customHeight="1">
      <c r="A113" s="131">
        <v>44.0</v>
      </c>
      <c r="B113" s="132">
        <v>47237.0</v>
      </c>
      <c r="C113" s="146"/>
      <c r="D113" s="135">
        <f t="shared" si="6"/>
        <v>81.8</v>
      </c>
      <c r="E113" s="135">
        <f t="shared" si="7"/>
        <v>481.4</v>
      </c>
      <c r="F113" s="133">
        <f t="shared" si="8"/>
        <v>563.2</v>
      </c>
      <c r="G113" s="135">
        <f t="shared" si="9"/>
        <v>7702</v>
      </c>
    </row>
    <row r="114" ht="14.25" customHeight="1">
      <c r="A114" s="131">
        <v>45.0</v>
      </c>
      <c r="B114" s="132">
        <v>47267.0</v>
      </c>
      <c r="C114" s="146"/>
      <c r="D114" s="135">
        <f t="shared" si="6"/>
        <v>77</v>
      </c>
      <c r="E114" s="135">
        <f t="shared" si="7"/>
        <v>481.4</v>
      </c>
      <c r="F114" s="133">
        <f t="shared" si="8"/>
        <v>558.4</v>
      </c>
      <c r="G114" s="135">
        <f t="shared" si="9"/>
        <v>7220.6</v>
      </c>
    </row>
    <row r="115" ht="14.25" customHeight="1">
      <c r="A115" s="131">
        <v>46.0</v>
      </c>
      <c r="B115" s="132">
        <v>47298.0</v>
      </c>
      <c r="C115" s="146"/>
      <c r="D115" s="135">
        <f t="shared" si="6"/>
        <v>72.2</v>
      </c>
      <c r="E115" s="135">
        <f t="shared" si="7"/>
        <v>481.4</v>
      </c>
      <c r="F115" s="133">
        <f t="shared" si="8"/>
        <v>553.6</v>
      </c>
      <c r="G115" s="135">
        <f t="shared" si="9"/>
        <v>6739.2</v>
      </c>
    </row>
    <row r="116" ht="14.25" customHeight="1">
      <c r="A116" s="131">
        <v>47.0</v>
      </c>
      <c r="B116" s="132">
        <v>47328.0</v>
      </c>
      <c r="C116" s="146"/>
      <c r="D116" s="135">
        <f t="shared" si="6"/>
        <v>67.4</v>
      </c>
      <c r="E116" s="135">
        <f t="shared" si="7"/>
        <v>481.4</v>
      </c>
      <c r="F116" s="133">
        <f t="shared" si="8"/>
        <v>548.8</v>
      </c>
      <c r="G116" s="135">
        <f t="shared" si="9"/>
        <v>6257.8</v>
      </c>
    </row>
    <row r="117" ht="14.25" customHeight="1">
      <c r="A117" s="131">
        <v>48.0</v>
      </c>
      <c r="B117" s="132">
        <v>47359.0</v>
      </c>
      <c r="C117" s="146"/>
      <c r="D117" s="135">
        <f t="shared" si="6"/>
        <v>62.6</v>
      </c>
      <c r="E117" s="135">
        <f t="shared" si="7"/>
        <v>481.4</v>
      </c>
      <c r="F117" s="133">
        <f t="shared" si="8"/>
        <v>544</v>
      </c>
      <c r="G117" s="135">
        <f t="shared" si="9"/>
        <v>5776.4</v>
      </c>
    </row>
    <row r="118" ht="14.25" customHeight="1">
      <c r="A118" s="131">
        <v>49.0</v>
      </c>
      <c r="B118" s="132">
        <v>47390.0</v>
      </c>
      <c r="C118" s="146"/>
      <c r="D118" s="135">
        <f t="shared" si="6"/>
        <v>57.8</v>
      </c>
      <c r="E118" s="135">
        <f t="shared" si="7"/>
        <v>481.4</v>
      </c>
      <c r="F118" s="133">
        <f t="shared" si="8"/>
        <v>539.2</v>
      </c>
      <c r="G118" s="135">
        <f t="shared" si="9"/>
        <v>5295</v>
      </c>
    </row>
    <row r="119" ht="14.25" customHeight="1">
      <c r="A119" s="131">
        <v>50.0</v>
      </c>
      <c r="B119" s="132">
        <v>47420.0</v>
      </c>
      <c r="C119" s="146"/>
      <c r="D119" s="135">
        <f t="shared" si="6"/>
        <v>53</v>
      </c>
      <c r="E119" s="135">
        <f t="shared" si="7"/>
        <v>481.4</v>
      </c>
      <c r="F119" s="133">
        <f t="shared" si="8"/>
        <v>534.4</v>
      </c>
      <c r="G119" s="135">
        <f t="shared" si="9"/>
        <v>4813.6</v>
      </c>
    </row>
    <row r="120" ht="14.25" customHeight="1">
      <c r="A120" s="131">
        <v>51.0</v>
      </c>
      <c r="B120" s="132">
        <v>47451.0</v>
      </c>
      <c r="C120" s="146"/>
      <c r="D120" s="135">
        <f t="shared" si="6"/>
        <v>48.1</v>
      </c>
      <c r="E120" s="135">
        <f t="shared" si="7"/>
        <v>481.4</v>
      </c>
      <c r="F120" s="133">
        <f t="shared" si="8"/>
        <v>529.5</v>
      </c>
      <c r="G120" s="135">
        <f t="shared" si="9"/>
        <v>4332.2</v>
      </c>
    </row>
    <row r="121" ht="14.25" customHeight="1">
      <c r="A121" s="131">
        <v>52.0</v>
      </c>
      <c r="B121" s="132">
        <v>47481.0</v>
      </c>
      <c r="C121" s="146"/>
      <c r="D121" s="135">
        <f t="shared" si="6"/>
        <v>43.3</v>
      </c>
      <c r="E121" s="135">
        <f t="shared" si="7"/>
        <v>481.4</v>
      </c>
      <c r="F121" s="133">
        <f t="shared" si="8"/>
        <v>524.7</v>
      </c>
      <c r="G121" s="135">
        <f t="shared" si="9"/>
        <v>3850.8</v>
      </c>
    </row>
    <row r="122" ht="14.25" customHeight="1">
      <c r="A122" s="131">
        <v>53.0</v>
      </c>
      <c r="B122" s="132">
        <v>47512.0</v>
      </c>
      <c r="C122" s="146"/>
      <c r="D122" s="135">
        <f t="shared" si="6"/>
        <v>38.5</v>
      </c>
      <c r="E122" s="135">
        <f t="shared" si="7"/>
        <v>481.4</v>
      </c>
      <c r="F122" s="133">
        <f t="shared" si="8"/>
        <v>519.9</v>
      </c>
      <c r="G122" s="135">
        <f t="shared" si="9"/>
        <v>3369.4</v>
      </c>
    </row>
    <row r="123" ht="14.25" customHeight="1">
      <c r="A123" s="131">
        <v>54.0</v>
      </c>
      <c r="B123" s="132">
        <v>47542.0</v>
      </c>
      <c r="C123" s="146"/>
      <c r="D123" s="135">
        <f t="shared" si="6"/>
        <v>33.7</v>
      </c>
      <c r="E123" s="135">
        <f t="shared" si="7"/>
        <v>481.4</v>
      </c>
      <c r="F123" s="133">
        <f t="shared" si="8"/>
        <v>515.1</v>
      </c>
      <c r="G123" s="135">
        <f t="shared" si="9"/>
        <v>2888</v>
      </c>
    </row>
    <row r="124" ht="14.25" customHeight="1">
      <c r="A124" s="131">
        <v>55.0</v>
      </c>
      <c r="B124" s="132">
        <v>47571.0</v>
      </c>
      <c r="C124" s="146"/>
      <c r="D124" s="135">
        <f t="shared" si="6"/>
        <v>28.9</v>
      </c>
      <c r="E124" s="135">
        <f t="shared" si="7"/>
        <v>481.4</v>
      </c>
      <c r="F124" s="133">
        <f t="shared" si="8"/>
        <v>510.3</v>
      </c>
      <c r="G124" s="135">
        <f t="shared" si="9"/>
        <v>2406.6</v>
      </c>
    </row>
    <row r="125" ht="14.25" customHeight="1">
      <c r="A125" s="131">
        <v>56.0</v>
      </c>
      <c r="B125" s="132">
        <v>47602.0</v>
      </c>
      <c r="C125" s="146"/>
      <c r="D125" s="135">
        <f t="shared" si="6"/>
        <v>24.1</v>
      </c>
      <c r="E125" s="135">
        <f t="shared" si="7"/>
        <v>481.4</v>
      </c>
      <c r="F125" s="133">
        <f t="shared" si="8"/>
        <v>505.5</v>
      </c>
      <c r="G125" s="135">
        <f t="shared" si="9"/>
        <v>1925.2</v>
      </c>
    </row>
    <row r="126" ht="14.25" customHeight="1">
      <c r="A126" s="131">
        <v>57.0</v>
      </c>
      <c r="B126" s="132">
        <v>47632.0</v>
      </c>
      <c r="C126" s="146"/>
      <c r="D126" s="135">
        <f t="shared" si="6"/>
        <v>19.3</v>
      </c>
      <c r="E126" s="135">
        <f t="shared" si="7"/>
        <v>481.4</v>
      </c>
      <c r="F126" s="133">
        <f t="shared" si="8"/>
        <v>500.7</v>
      </c>
      <c r="G126" s="135">
        <f t="shared" si="9"/>
        <v>1443.8</v>
      </c>
    </row>
    <row r="127" ht="14.25" customHeight="1">
      <c r="A127" s="131">
        <v>58.0</v>
      </c>
      <c r="B127" s="132">
        <v>47663.0</v>
      </c>
      <c r="C127" s="146"/>
      <c r="D127" s="135">
        <f t="shared" si="6"/>
        <v>14.4</v>
      </c>
      <c r="E127" s="135">
        <f t="shared" si="7"/>
        <v>481.4</v>
      </c>
      <c r="F127" s="133">
        <f t="shared" si="8"/>
        <v>495.8</v>
      </c>
      <c r="G127" s="135">
        <f t="shared" si="9"/>
        <v>962.4</v>
      </c>
    </row>
    <row r="128" ht="14.25" customHeight="1">
      <c r="A128" s="131">
        <v>59.0</v>
      </c>
      <c r="B128" s="132">
        <v>47693.0</v>
      </c>
      <c r="C128" s="146"/>
      <c r="D128" s="135">
        <f t="shared" si="6"/>
        <v>9.6</v>
      </c>
      <c r="E128" s="135">
        <f t="shared" si="7"/>
        <v>481.4</v>
      </c>
      <c r="F128" s="133">
        <f t="shared" si="8"/>
        <v>491</v>
      </c>
      <c r="G128" s="135">
        <f t="shared" si="9"/>
        <v>481</v>
      </c>
    </row>
    <row r="129" ht="14.25" customHeight="1">
      <c r="A129" s="131">
        <v>60.0</v>
      </c>
      <c r="B129" s="132">
        <v>47724.0</v>
      </c>
      <c r="C129" s="146"/>
      <c r="D129" s="135">
        <f t="shared" si="6"/>
        <v>4.8</v>
      </c>
      <c r="E129" s="135">
        <f>ROUND($C$69/60,1)-0.4</f>
        <v>481</v>
      </c>
      <c r="F129" s="133">
        <f t="shared" si="8"/>
        <v>485.8</v>
      </c>
      <c r="G129" s="135">
        <f t="shared" si="9"/>
        <v>0</v>
      </c>
    </row>
    <row r="130" ht="14.25" customHeight="1">
      <c r="A130" s="129" t="s">
        <v>252</v>
      </c>
      <c r="B130" s="2"/>
      <c r="C130" s="3"/>
      <c r="D130" s="147">
        <f t="shared" ref="D130:F130" si="10">+SUM(D70:D129)</f>
        <v>8809.4</v>
      </c>
      <c r="E130" s="147">
        <f t="shared" si="10"/>
        <v>28883.6</v>
      </c>
      <c r="F130" s="147">
        <f t="shared" si="10"/>
        <v>37693</v>
      </c>
      <c r="G130" s="148"/>
    </row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65:C65"/>
    <mergeCell ref="A67:G67"/>
    <mergeCell ref="A130:C13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345</v>
      </c>
      <c r="B1" s="2"/>
      <c r="C1" s="2"/>
      <c r="D1" s="2"/>
      <c r="E1" s="2"/>
      <c r="F1" s="2"/>
      <c r="G1" s="3"/>
    </row>
    <row r="2" ht="14.25" customHeight="1">
      <c r="A2" s="129" t="s">
        <v>346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45837.0</v>
      </c>
      <c r="C4" s="133">
        <f>+J7</f>
        <v>46124.4</v>
      </c>
      <c r="D4" s="134">
        <v>0.01</v>
      </c>
      <c r="E4" s="135"/>
      <c r="F4" s="135"/>
      <c r="G4" s="135">
        <f>+C4</f>
        <v>46124.4</v>
      </c>
    </row>
    <row r="5" ht="14.25" customHeight="1">
      <c r="A5" s="136">
        <v>1.0</v>
      </c>
      <c r="B5" s="137">
        <v>45867.0</v>
      </c>
      <c r="C5" s="138"/>
      <c r="D5" s="138">
        <f t="shared" ref="D5:D88" si="1">+ROUND(G4*0.01,1)</f>
        <v>461.2</v>
      </c>
      <c r="E5" s="138">
        <f>ROUNDDOWN(C4/84,1)</f>
        <v>549.1</v>
      </c>
      <c r="F5" s="139">
        <f t="shared" ref="F5:F88" si="2">+ROUND(D5+E5,1)</f>
        <v>1010.3</v>
      </c>
      <c r="G5" s="138">
        <f t="shared" ref="G5:G88" si="3">+ROUND(G4-E5,1)</f>
        <v>45575.3</v>
      </c>
      <c r="I5" s="140" t="s">
        <v>209</v>
      </c>
      <c r="J5" s="141">
        <v>51124.4</v>
      </c>
    </row>
    <row r="6" ht="14.25" customHeight="1">
      <c r="A6" s="136">
        <v>2.0</v>
      </c>
      <c r="B6" s="137">
        <v>45898.0</v>
      </c>
      <c r="C6" s="144"/>
      <c r="D6" s="138">
        <f t="shared" si="1"/>
        <v>455.8</v>
      </c>
      <c r="E6" s="138">
        <f t="shared" ref="E6:E88" si="4">ROUNDDOWN($C$4/84,1)</f>
        <v>549.1</v>
      </c>
      <c r="F6" s="139">
        <f t="shared" si="2"/>
        <v>1004.9</v>
      </c>
      <c r="G6" s="138">
        <f t="shared" si="3"/>
        <v>45026.2</v>
      </c>
      <c r="I6" s="140" t="s">
        <v>343</v>
      </c>
      <c r="J6" s="141">
        <v>-5000.0</v>
      </c>
    </row>
    <row r="7" ht="14.25" customHeight="1">
      <c r="A7" s="136">
        <v>3.0</v>
      </c>
      <c r="B7" s="137">
        <v>45929.0</v>
      </c>
      <c r="C7" s="144"/>
      <c r="D7" s="138">
        <f t="shared" si="1"/>
        <v>450.3</v>
      </c>
      <c r="E7" s="138">
        <f t="shared" si="4"/>
        <v>549.1</v>
      </c>
      <c r="F7" s="139">
        <f t="shared" si="2"/>
        <v>999.4</v>
      </c>
      <c r="G7" s="138">
        <f t="shared" si="3"/>
        <v>44477.1</v>
      </c>
      <c r="I7" s="142" t="s">
        <v>252</v>
      </c>
      <c r="J7" s="143">
        <f>+SUM(J5:J6)</f>
        <v>46124.4</v>
      </c>
    </row>
    <row r="8" ht="14.25" customHeight="1">
      <c r="A8" s="136">
        <v>4.0</v>
      </c>
      <c r="B8" s="137">
        <v>45959.0</v>
      </c>
      <c r="C8" s="145"/>
      <c r="D8" s="138">
        <f t="shared" si="1"/>
        <v>444.8</v>
      </c>
      <c r="E8" s="138">
        <f t="shared" si="4"/>
        <v>549.1</v>
      </c>
      <c r="F8" s="139">
        <f t="shared" si="2"/>
        <v>993.9</v>
      </c>
      <c r="G8" s="138">
        <f t="shared" si="3"/>
        <v>43928</v>
      </c>
    </row>
    <row r="9" ht="14.25" customHeight="1">
      <c r="A9" s="136">
        <v>5.0</v>
      </c>
      <c r="B9" s="137">
        <v>45990.0</v>
      </c>
      <c r="C9" s="145"/>
      <c r="D9" s="138">
        <f t="shared" si="1"/>
        <v>439.3</v>
      </c>
      <c r="E9" s="138">
        <f t="shared" si="4"/>
        <v>549.1</v>
      </c>
      <c r="F9" s="139">
        <f t="shared" si="2"/>
        <v>988.4</v>
      </c>
      <c r="G9" s="138">
        <f t="shared" si="3"/>
        <v>43378.9</v>
      </c>
    </row>
    <row r="10" ht="14.25" customHeight="1">
      <c r="A10" s="136">
        <v>6.0</v>
      </c>
      <c r="B10" s="137">
        <v>46020.0</v>
      </c>
      <c r="C10" s="145"/>
      <c r="D10" s="138">
        <f t="shared" si="1"/>
        <v>433.8</v>
      </c>
      <c r="E10" s="138">
        <f t="shared" si="4"/>
        <v>549.1</v>
      </c>
      <c r="F10" s="139">
        <f t="shared" si="2"/>
        <v>982.9</v>
      </c>
      <c r="G10" s="138">
        <f t="shared" si="3"/>
        <v>42829.8</v>
      </c>
    </row>
    <row r="11" ht="14.25" customHeight="1">
      <c r="A11" s="131">
        <v>7.0</v>
      </c>
      <c r="B11" s="132">
        <v>46051.0</v>
      </c>
      <c r="C11" s="146"/>
      <c r="D11" s="135">
        <f t="shared" si="1"/>
        <v>428.3</v>
      </c>
      <c r="E11" s="135">
        <f t="shared" si="4"/>
        <v>549.1</v>
      </c>
      <c r="F11" s="133">
        <f t="shared" si="2"/>
        <v>977.4</v>
      </c>
      <c r="G11" s="135">
        <f t="shared" si="3"/>
        <v>42280.7</v>
      </c>
    </row>
    <row r="12" ht="14.25" customHeight="1">
      <c r="A12" s="131">
        <v>8.0</v>
      </c>
      <c r="B12" s="132">
        <v>46081.0</v>
      </c>
      <c r="C12" s="146"/>
      <c r="D12" s="135">
        <f t="shared" si="1"/>
        <v>422.8</v>
      </c>
      <c r="E12" s="135">
        <f t="shared" si="4"/>
        <v>549.1</v>
      </c>
      <c r="F12" s="133">
        <f t="shared" si="2"/>
        <v>971.9</v>
      </c>
      <c r="G12" s="135">
        <f t="shared" si="3"/>
        <v>41731.6</v>
      </c>
    </row>
    <row r="13" ht="14.25" customHeight="1">
      <c r="A13" s="131">
        <v>9.0</v>
      </c>
      <c r="B13" s="132">
        <v>46110.0</v>
      </c>
      <c r="C13" s="146"/>
      <c r="D13" s="135">
        <f t="shared" si="1"/>
        <v>417.3</v>
      </c>
      <c r="E13" s="135">
        <f t="shared" si="4"/>
        <v>549.1</v>
      </c>
      <c r="F13" s="133">
        <f t="shared" si="2"/>
        <v>966.4</v>
      </c>
      <c r="G13" s="135">
        <f t="shared" si="3"/>
        <v>41182.5</v>
      </c>
    </row>
    <row r="14" ht="14.25" customHeight="1">
      <c r="A14" s="131">
        <v>10.0</v>
      </c>
      <c r="B14" s="132">
        <v>46141.0</v>
      </c>
      <c r="C14" s="146"/>
      <c r="D14" s="135">
        <f t="shared" si="1"/>
        <v>411.8</v>
      </c>
      <c r="E14" s="135">
        <f t="shared" si="4"/>
        <v>549.1</v>
      </c>
      <c r="F14" s="133">
        <f t="shared" si="2"/>
        <v>960.9</v>
      </c>
      <c r="G14" s="135">
        <f t="shared" si="3"/>
        <v>40633.4</v>
      </c>
    </row>
    <row r="15" ht="14.25" customHeight="1">
      <c r="A15" s="131">
        <v>11.0</v>
      </c>
      <c r="B15" s="132">
        <v>46171.0</v>
      </c>
      <c r="C15" s="146"/>
      <c r="D15" s="135">
        <f t="shared" si="1"/>
        <v>406.3</v>
      </c>
      <c r="E15" s="135">
        <f t="shared" si="4"/>
        <v>549.1</v>
      </c>
      <c r="F15" s="133">
        <f t="shared" si="2"/>
        <v>955.4</v>
      </c>
      <c r="G15" s="135">
        <f t="shared" si="3"/>
        <v>40084.3</v>
      </c>
    </row>
    <row r="16" ht="14.25" customHeight="1">
      <c r="A16" s="131">
        <v>12.0</v>
      </c>
      <c r="B16" s="132">
        <v>46202.0</v>
      </c>
      <c r="C16" s="146"/>
      <c r="D16" s="135">
        <f t="shared" si="1"/>
        <v>400.8</v>
      </c>
      <c r="E16" s="135">
        <f t="shared" si="4"/>
        <v>549.1</v>
      </c>
      <c r="F16" s="133">
        <f t="shared" si="2"/>
        <v>949.9</v>
      </c>
      <c r="G16" s="135">
        <f t="shared" si="3"/>
        <v>39535.2</v>
      </c>
    </row>
    <row r="17" ht="14.25" customHeight="1">
      <c r="A17" s="131">
        <v>13.0</v>
      </c>
      <c r="B17" s="132">
        <v>46232.0</v>
      </c>
      <c r="C17" s="146"/>
      <c r="D17" s="135">
        <f t="shared" si="1"/>
        <v>395.4</v>
      </c>
      <c r="E17" s="135">
        <f t="shared" si="4"/>
        <v>549.1</v>
      </c>
      <c r="F17" s="133">
        <f t="shared" si="2"/>
        <v>944.5</v>
      </c>
      <c r="G17" s="135">
        <f t="shared" si="3"/>
        <v>38986.1</v>
      </c>
    </row>
    <row r="18" ht="14.25" customHeight="1">
      <c r="A18" s="131">
        <v>14.0</v>
      </c>
      <c r="B18" s="132">
        <v>46263.0</v>
      </c>
      <c r="C18" s="146"/>
      <c r="D18" s="135">
        <f t="shared" si="1"/>
        <v>389.9</v>
      </c>
      <c r="E18" s="135">
        <f t="shared" si="4"/>
        <v>549.1</v>
      </c>
      <c r="F18" s="133">
        <f t="shared" si="2"/>
        <v>939</v>
      </c>
      <c r="G18" s="135">
        <f t="shared" si="3"/>
        <v>38437</v>
      </c>
    </row>
    <row r="19" ht="14.25" customHeight="1">
      <c r="A19" s="131">
        <v>15.0</v>
      </c>
      <c r="B19" s="132">
        <v>46294.0</v>
      </c>
      <c r="C19" s="146"/>
      <c r="D19" s="135">
        <f t="shared" si="1"/>
        <v>384.4</v>
      </c>
      <c r="E19" s="135">
        <f t="shared" si="4"/>
        <v>549.1</v>
      </c>
      <c r="F19" s="133">
        <f t="shared" si="2"/>
        <v>933.5</v>
      </c>
      <c r="G19" s="135">
        <f t="shared" si="3"/>
        <v>37887.9</v>
      </c>
    </row>
    <row r="20" ht="14.25" customHeight="1">
      <c r="A20" s="131">
        <v>16.0</v>
      </c>
      <c r="B20" s="132">
        <v>46324.0</v>
      </c>
      <c r="C20" s="146"/>
      <c r="D20" s="135">
        <f t="shared" si="1"/>
        <v>378.9</v>
      </c>
      <c r="E20" s="135">
        <f t="shared" si="4"/>
        <v>549.1</v>
      </c>
      <c r="F20" s="133">
        <f t="shared" si="2"/>
        <v>928</v>
      </c>
      <c r="G20" s="135">
        <f t="shared" si="3"/>
        <v>37338.8</v>
      </c>
    </row>
    <row r="21" ht="14.25" customHeight="1">
      <c r="A21" s="131">
        <v>17.0</v>
      </c>
      <c r="B21" s="132">
        <v>46355.0</v>
      </c>
      <c r="C21" s="146"/>
      <c r="D21" s="135">
        <f t="shared" si="1"/>
        <v>373.4</v>
      </c>
      <c r="E21" s="135">
        <f t="shared" si="4"/>
        <v>549.1</v>
      </c>
      <c r="F21" s="133">
        <f t="shared" si="2"/>
        <v>922.5</v>
      </c>
      <c r="G21" s="135">
        <f t="shared" si="3"/>
        <v>36789.7</v>
      </c>
    </row>
    <row r="22" ht="14.25" customHeight="1">
      <c r="A22" s="131">
        <v>18.0</v>
      </c>
      <c r="B22" s="132">
        <v>46385.0</v>
      </c>
      <c r="C22" s="146"/>
      <c r="D22" s="135">
        <f t="shared" si="1"/>
        <v>367.9</v>
      </c>
      <c r="E22" s="135">
        <f t="shared" si="4"/>
        <v>549.1</v>
      </c>
      <c r="F22" s="133">
        <f t="shared" si="2"/>
        <v>917</v>
      </c>
      <c r="G22" s="135">
        <f t="shared" si="3"/>
        <v>36240.6</v>
      </c>
    </row>
    <row r="23" ht="14.25" customHeight="1">
      <c r="A23" s="131">
        <v>19.0</v>
      </c>
      <c r="B23" s="132">
        <v>46416.0</v>
      </c>
      <c r="C23" s="146"/>
      <c r="D23" s="135">
        <f t="shared" si="1"/>
        <v>362.4</v>
      </c>
      <c r="E23" s="135">
        <f t="shared" si="4"/>
        <v>549.1</v>
      </c>
      <c r="F23" s="133">
        <f t="shared" si="2"/>
        <v>911.5</v>
      </c>
      <c r="G23" s="135">
        <f t="shared" si="3"/>
        <v>35691.5</v>
      </c>
    </row>
    <row r="24" ht="14.25" customHeight="1">
      <c r="A24" s="131">
        <v>20.0</v>
      </c>
      <c r="B24" s="132">
        <v>46446.0</v>
      </c>
      <c r="C24" s="146"/>
      <c r="D24" s="135">
        <f t="shared" si="1"/>
        <v>356.9</v>
      </c>
      <c r="E24" s="135">
        <f t="shared" si="4"/>
        <v>549.1</v>
      </c>
      <c r="F24" s="133">
        <f t="shared" si="2"/>
        <v>906</v>
      </c>
      <c r="G24" s="135">
        <f t="shared" si="3"/>
        <v>35142.4</v>
      </c>
    </row>
    <row r="25" ht="14.25" customHeight="1">
      <c r="A25" s="131">
        <v>21.0</v>
      </c>
      <c r="B25" s="132">
        <v>46475.0</v>
      </c>
      <c r="C25" s="146"/>
      <c r="D25" s="135">
        <f t="shared" si="1"/>
        <v>351.4</v>
      </c>
      <c r="E25" s="135">
        <f t="shared" si="4"/>
        <v>549.1</v>
      </c>
      <c r="F25" s="133">
        <f t="shared" si="2"/>
        <v>900.5</v>
      </c>
      <c r="G25" s="135">
        <f t="shared" si="3"/>
        <v>34593.3</v>
      </c>
    </row>
    <row r="26" ht="14.25" customHeight="1">
      <c r="A26" s="131">
        <v>22.0</v>
      </c>
      <c r="B26" s="132">
        <v>46506.0</v>
      </c>
      <c r="C26" s="146"/>
      <c r="D26" s="135">
        <f t="shared" si="1"/>
        <v>345.9</v>
      </c>
      <c r="E26" s="135">
        <f t="shared" si="4"/>
        <v>549.1</v>
      </c>
      <c r="F26" s="133">
        <f t="shared" si="2"/>
        <v>895</v>
      </c>
      <c r="G26" s="135">
        <f t="shared" si="3"/>
        <v>34044.2</v>
      </c>
    </row>
    <row r="27" ht="14.25" customHeight="1">
      <c r="A27" s="131">
        <v>23.0</v>
      </c>
      <c r="B27" s="132">
        <v>46536.0</v>
      </c>
      <c r="C27" s="146"/>
      <c r="D27" s="135">
        <f t="shared" si="1"/>
        <v>340.4</v>
      </c>
      <c r="E27" s="135">
        <f t="shared" si="4"/>
        <v>549.1</v>
      </c>
      <c r="F27" s="133">
        <f t="shared" si="2"/>
        <v>889.5</v>
      </c>
      <c r="G27" s="135">
        <f t="shared" si="3"/>
        <v>33495.1</v>
      </c>
    </row>
    <row r="28" ht="14.25" customHeight="1">
      <c r="A28" s="131">
        <v>24.0</v>
      </c>
      <c r="B28" s="132">
        <v>46567.0</v>
      </c>
      <c r="C28" s="146"/>
      <c r="D28" s="135">
        <f t="shared" si="1"/>
        <v>335</v>
      </c>
      <c r="E28" s="135">
        <f t="shared" si="4"/>
        <v>549.1</v>
      </c>
      <c r="F28" s="133">
        <f t="shared" si="2"/>
        <v>884.1</v>
      </c>
      <c r="G28" s="135">
        <f t="shared" si="3"/>
        <v>32946</v>
      </c>
    </row>
    <row r="29" ht="14.25" customHeight="1">
      <c r="A29" s="131">
        <v>25.0</v>
      </c>
      <c r="B29" s="132">
        <v>46597.0</v>
      </c>
      <c r="C29" s="146"/>
      <c r="D29" s="135">
        <f t="shared" si="1"/>
        <v>329.5</v>
      </c>
      <c r="E29" s="135">
        <f t="shared" si="4"/>
        <v>549.1</v>
      </c>
      <c r="F29" s="133">
        <f t="shared" si="2"/>
        <v>878.6</v>
      </c>
      <c r="G29" s="135">
        <f t="shared" si="3"/>
        <v>32396.9</v>
      </c>
    </row>
    <row r="30" ht="14.25" customHeight="1">
      <c r="A30" s="131">
        <v>26.0</v>
      </c>
      <c r="B30" s="132">
        <v>46628.0</v>
      </c>
      <c r="C30" s="146"/>
      <c r="D30" s="135">
        <f t="shared" si="1"/>
        <v>324</v>
      </c>
      <c r="E30" s="135">
        <f t="shared" si="4"/>
        <v>549.1</v>
      </c>
      <c r="F30" s="133">
        <f t="shared" si="2"/>
        <v>873.1</v>
      </c>
      <c r="G30" s="135">
        <f t="shared" si="3"/>
        <v>31847.8</v>
      </c>
    </row>
    <row r="31" ht="14.25" customHeight="1">
      <c r="A31" s="131">
        <v>27.0</v>
      </c>
      <c r="B31" s="132">
        <v>46659.0</v>
      </c>
      <c r="C31" s="146"/>
      <c r="D31" s="135">
        <f t="shared" si="1"/>
        <v>318.5</v>
      </c>
      <c r="E31" s="135">
        <f t="shared" si="4"/>
        <v>549.1</v>
      </c>
      <c r="F31" s="133">
        <f t="shared" si="2"/>
        <v>867.6</v>
      </c>
      <c r="G31" s="135">
        <f t="shared" si="3"/>
        <v>31298.7</v>
      </c>
    </row>
    <row r="32" ht="14.25" customHeight="1">
      <c r="A32" s="131">
        <v>28.0</v>
      </c>
      <c r="B32" s="132">
        <v>46689.0</v>
      </c>
      <c r="C32" s="146"/>
      <c r="D32" s="135">
        <f t="shared" si="1"/>
        <v>313</v>
      </c>
      <c r="E32" s="135">
        <f t="shared" si="4"/>
        <v>549.1</v>
      </c>
      <c r="F32" s="133">
        <f t="shared" si="2"/>
        <v>862.1</v>
      </c>
      <c r="G32" s="135">
        <f t="shared" si="3"/>
        <v>30749.6</v>
      </c>
    </row>
    <row r="33" ht="14.25" customHeight="1">
      <c r="A33" s="131">
        <v>29.0</v>
      </c>
      <c r="B33" s="132">
        <v>46720.0</v>
      </c>
      <c r="C33" s="146"/>
      <c r="D33" s="135">
        <f t="shared" si="1"/>
        <v>307.5</v>
      </c>
      <c r="E33" s="135">
        <f t="shared" si="4"/>
        <v>549.1</v>
      </c>
      <c r="F33" s="133">
        <f t="shared" si="2"/>
        <v>856.6</v>
      </c>
      <c r="G33" s="135">
        <f t="shared" si="3"/>
        <v>30200.5</v>
      </c>
    </row>
    <row r="34" ht="14.25" customHeight="1">
      <c r="A34" s="131">
        <v>30.0</v>
      </c>
      <c r="B34" s="132">
        <v>46750.0</v>
      </c>
      <c r="C34" s="146"/>
      <c r="D34" s="135">
        <f t="shared" si="1"/>
        <v>302</v>
      </c>
      <c r="E34" s="135">
        <f t="shared" si="4"/>
        <v>549.1</v>
      </c>
      <c r="F34" s="133">
        <f t="shared" si="2"/>
        <v>851.1</v>
      </c>
      <c r="G34" s="135">
        <f t="shared" si="3"/>
        <v>29651.4</v>
      </c>
    </row>
    <row r="35" ht="14.25" customHeight="1">
      <c r="A35" s="131">
        <v>31.0</v>
      </c>
      <c r="B35" s="132">
        <v>46781.0</v>
      </c>
      <c r="C35" s="146"/>
      <c r="D35" s="135">
        <f t="shared" si="1"/>
        <v>296.5</v>
      </c>
      <c r="E35" s="135">
        <f t="shared" si="4"/>
        <v>549.1</v>
      </c>
      <c r="F35" s="133">
        <f t="shared" si="2"/>
        <v>845.6</v>
      </c>
      <c r="G35" s="135">
        <f t="shared" si="3"/>
        <v>29102.3</v>
      </c>
    </row>
    <row r="36" ht="14.25" customHeight="1">
      <c r="A36" s="131">
        <v>32.0</v>
      </c>
      <c r="B36" s="132">
        <v>46812.0</v>
      </c>
      <c r="C36" s="146"/>
      <c r="D36" s="135">
        <f t="shared" si="1"/>
        <v>291</v>
      </c>
      <c r="E36" s="135">
        <f t="shared" si="4"/>
        <v>549.1</v>
      </c>
      <c r="F36" s="133">
        <f t="shared" si="2"/>
        <v>840.1</v>
      </c>
      <c r="G36" s="135">
        <f t="shared" si="3"/>
        <v>28553.2</v>
      </c>
    </row>
    <row r="37" ht="14.25" customHeight="1">
      <c r="A37" s="131">
        <v>33.0</v>
      </c>
      <c r="B37" s="132">
        <v>46841.0</v>
      </c>
      <c r="C37" s="146"/>
      <c r="D37" s="135">
        <f t="shared" si="1"/>
        <v>285.5</v>
      </c>
      <c r="E37" s="135">
        <f t="shared" si="4"/>
        <v>549.1</v>
      </c>
      <c r="F37" s="133">
        <f t="shared" si="2"/>
        <v>834.6</v>
      </c>
      <c r="G37" s="135">
        <f t="shared" si="3"/>
        <v>28004.1</v>
      </c>
    </row>
    <row r="38" ht="14.25" customHeight="1">
      <c r="A38" s="131">
        <v>34.0</v>
      </c>
      <c r="B38" s="132">
        <v>46872.0</v>
      </c>
      <c r="C38" s="146"/>
      <c r="D38" s="135">
        <f t="shared" si="1"/>
        <v>280</v>
      </c>
      <c r="E38" s="135">
        <f t="shared" si="4"/>
        <v>549.1</v>
      </c>
      <c r="F38" s="133">
        <f t="shared" si="2"/>
        <v>829.1</v>
      </c>
      <c r="G38" s="135">
        <f t="shared" si="3"/>
        <v>27455</v>
      </c>
    </row>
    <row r="39" ht="14.25" customHeight="1">
      <c r="A39" s="131">
        <v>35.0</v>
      </c>
      <c r="B39" s="132">
        <v>46902.0</v>
      </c>
      <c r="C39" s="146"/>
      <c r="D39" s="135">
        <f t="shared" si="1"/>
        <v>274.6</v>
      </c>
      <c r="E39" s="135">
        <f t="shared" si="4"/>
        <v>549.1</v>
      </c>
      <c r="F39" s="133">
        <f t="shared" si="2"/>
        <v>823.7</v>
      </c>
      <c r="G39" s="135">
        <f t="shared" si="3"/>
        <v>26905.9</v>
      </c>
    </row>
    <row r="40" ht="14.25" customHeight="1">
      <c r="A40" s="131">
        <v>36.0</v>
      </c>
      <c r="B40" s="132">
        <v>46933.0</v>
      </c>
      <c r="C40" s="146"/>
      <c r="D40" s="135">
        <f t="shared" si="1"/>
        <v>269.1</v>
      </c>
      <c r="E40" s="135">
        <f t="shared" si="4"/>
        <v>549.1</v>
      </c>
      <c r="F40" s="133">
        <f t="shared" si="2"/>
        <v>818.2</v>
      </c>
      <c r="G40" s="135">
        <f t="shared" si="3"/>
        <v>26356.8</v>
      </c>
    </row>
    <row r="41" ht="14.25" customHeight="1">
      <c r="A41" s="131">
        <v>37.0</v>
      </c>
      <c r="B41" s="132">
        <v>46963.0</v>
      </c>
      <c r="C41" s="146"/>
      <c r="D41" s="135">
        <f t="shared" si="1"/>
        <v>263.6</v>
      </c>
      <c r="E41" s="135">
        <f t="shared" si="4"/>
        <v>549.1</v>
      </c>
      <c r="F41" s="133">
        <f t="shared" si="2"/>
        <v>812.7</v>
      </c>
      <c r="G41" s="135">
        <f t="shared" si="3"/>
        <v>25807.7</v>
      </c>
    </row>
    <row r="42" ht="14.25" customHeight="1">
      <c r="A42" s="131">
        <v>38.0</v>
      </c>
      <c r="B42" s="132">
        <v>46994.0</v>
      </c>
      <c r="C42" s="146"/>
      <c r="D42" s="135">
        <f t="shared" si="1"/>
        <v>258.1</v>
      </c>
      <c r="E42" s="135">
        <f t="shared" si="4"/>
        <v>549.1</v>
      </c>
      <c r="F42" s="133">
        <f t="shared" si="2"/>
        <v>807.2</v>
      </c>
      <c r="G42" s="135">
        <f t="shared" si="3"/>
        <v>25258.6</v>
      </c>
    </row>
    <row r="43" ht="14.25" customHeight="1">
      <c r="A43" s="131">
        <v>39.0</v>
      </c>
      <c r="B43" s="132">
        <v>47025.0</v>
      </c>
      <c r="C43" s="146"/>
      <c r="D43" s="135">
        <f t="shared" si="1"/>
        <v>252.6</v>
      </c>
      <c r="E43" s="135">
        <f t="shared" si="4"/>
        <v>549.1</v>
      </c>
      <c r="F43" s="133">
        <f t="shared" si="2"/>
        <v>801.7</v>
      </c>
      <c r="G43" s="135">
        <f t="shared" si="3"/>
        <v>24709.5</v>
      </c>
    </row>
    <row r="44" ht="14.25" customHeight="1">
      <c r="A44" s="131">
        <v>40.0</v>
      </c>
      <c r="B44" s="132">
        <v>47055.0</v>
      </c>
      <c r="C44" s="146"/>
      <c r="D44" s="135">
        <f t="shared" si="1"/>
        <v>247.1</v>
      </c>
      <c r="E44" s="135">
        <f t="shared" si="4"/>
        <v>549.1</v>
      </c>
      <c r="F44" s="133">
        <f t="shared" si="2"/>
        <v>796.2</v>
      </c>
      <c r="G44" s="135">
        <f t="shared" si="3"/>
        <v>24160.4</v>
      </c>
    </row>
    <row r="45" ht="14.25" customHeight="1">
      <c r="A45" s="131">
        <v>41.0</v>
      </c>
      <c r="B45" s="132">
        <v>47086.0</v>
      </c>
      <c r="C45" s="146"/>
      <c r="D45" s="135">
        <f t="shared" si="1"/>
        <v>241.6</v>
      </c>
      <c r="E45" s="135">
        <f t="shared" si="4"/>
        <v>549.1</v>
      </c>
      <c r="F45" s="133">
        <f t="shared" si="2"/>
        <v>790.7</v>
      </c>
      <c r="G45" s="135">
        <f t="shared" si="3"/>
        <v>23611.3</v>
      </c>
    </row>
    <row r="46" ht="14.25" customHeight="1">
      <c r="A46" s="131">
        <v>42.0</v>
      </c>
      <c r="B46" s="132">
        <v>47116.0</v>
      </c>
      <c r="C46" s="146"/>
      <c r="D46" s="135">
        <f t="shared" si="1"/>
        <v>236.1</v>
      </c>
      <c r="E46" s="135">
        <f t="shared" si="4"/>
        <v>549.1</v>
      </c>
      <c r="F46" s="133">
        <f t="shared" si="2"/>
        <v>785.2</v>
      </c>
      <c r="G46" s="135">
        <f t="shared" si="3"/>
        <v>23062.2</v>
      </c>
    </row>
    <row r="47" ht="14.25" customHeight="1">
      <c r="A47" s="131">
        <v>43.0</v>
      </c>
      <c r="B47" s="132">
        <v>47147.0</v>
      </c>
      <c r="C47" s="146"/>
      <c r="D47" s="135">
        <f t="shared" si="1"/>
        <v>230.6</v>
      </c>
      <c r="E47" s="135">
        <f t="shared" si="4"/>
        <v>549.1</v>
      </c>
      <c r="F47" s="133">
        <f t="shared" si="2"/>
        <v>779.7</v>
      </c>
      <c r="G47" s="135">
        <f t="shared" si="3"/>
        <v>22513.1</v>
      </c>
    </row>
    <row r="48" ht="14.25" customHeight="1">
      <c r="A48" s="131">
        <v>44.0</v>
      </c>
      <c r="B48" s="132">
        <v>47177.0</v>
      </c>
      <c r="C48" s="146"/>
      <c r="D48" s="135">
        <f t="shared" si="1"/>
        <v>225.1</v>
      </c>
      <c r="E48" s="135">
        <f t="shared" si="4"/>
        <v>549.1</v>
      </c>
      <c r="F48" s="133">
        <f t="shared" si="2"/>
        <v>774.2</v>
      </c>
      <c r="G48" s="135">
        <f t="shared" si="3"/>
        <v>21964</v>
      </c>
    </row>
    <row r="49" ht="14.25" customHeight="1">
      <c r="A49" s="131">
        <v>45.0</v>
      </c>
      <c r="B49" s="132">
        <v>47206.0</v>
      </c>
      <c r="C49" s="146"/>
      <c r="D49" s="135">
        <f t="shared" si="1"/>
        <v>219.6</v>
      </c>
      <c r="E49" s="135">
        <f t="shared" si="4"/>
        <v>549.1</v>
      </c>
      <c r="F49" s="133">
        <f t="shared" si="2"/>
        <v>768.7</v>
      </c>
      <c r="G49" s="135">
        <f t="shared" si="3"/>
        <v>21414.9</v>
      </c>
    </row>
    <row r="50" ht="14.25" customHeight="1">
      <c r="A50" s="131">
        <v>46.0</v>
      </c>
      <c r="B50" s="132">
        <v>47237.0</v>
      </c>
      <c r="C50" s="146"/>
      <c r="D50" s="135">
        <f t="shared" si="1"/>
        <v>214.1</v>
      </c>
      <c r="E50" s="135">
        <f t="shared" si="4"/>
        <v>549.1</v>
      </c>
      <c r="F50" s="133">
        <f t="shared" si="2"/>
        <v>763.2</v>
      </c>
      <c r="G50" s="135">
        <f t="shared" si="3"/>
        <v>20865.8</v>
      </c>
    </row>
    <row r="51" ht="14.25" customHeight="1">
      <c r="A51" s="131">
        <v>47.0</v>
      </c>
      <c r="B51" s="132">
        <v>47267.0</v>
      </c>
      <c r="C51" s="146"/>
      <c r="D51" s="135">
        <f t="shared" si="1"/>
        <v>208.7</v>
      </c>
      <c r="E51" s="135">
        <f t="shared" si="4"/>
        <v>549.1</v>
      </c>
      <c r="F51" s="133">
        <f t="shared" si="2"/>
        <v>757.8</v>
      </c>
      <c r="G51" s="135">
        <f t="shared" si="3"/>
        <v>20316.7</v>
      </c>
    </row>
    <row r="52" ht="14.25" customHeight="1">
      <c r="A52" s="131">
        <v>48.0</v>
      </c>
      <c r="B52" s="132">
        <v>47298.0</v>
      </c>
      <c r="C52" s="146"/>
      <c r="D52" s="135">
        <f t="shared" si="1"/>
        <v>203.2</v>
      </c>
      <c r="E52" s="135">
        <f t="shared" si="4"/>
        <v>549.1</v>
      </c>
      <c r="F52" s="133">
        <f t="shared" si="2"/>
        <v>752.3</v>
      </c>
      <c r="G52" s="135">
        <f t="shared" si="3"/>
        <v>19767.6</v>
      </c>
    </row>
    <row r="53" ht="14.25" customHeight="1">
      <c r="A53" s="131">
        <v>49.0</v>
      </c>
      <c r="B53" s="132">
        <v>47328.0</v>
      </c>
      <c r="C53" s="146"/>
      <c r="D53" s="135">
        <f t="shared" si="1"/>
        <v>197.7</v>
      </c>
      <c r="E53" s="135">
        <f t="shared" si="4"/>
        <v>549.1</v>
      </c>
      <c r="F53" s="133">
        <f t="shared" si="2"/>
        <v>746.8</v>
      </c>
      <c r="G53" s="135">
        <f t="shared" si="3"/>
        <v>19218.5</v>
      </c>
    </row>
    <row r="54" ht="14.25" customHeight="1">
      <c r="A54" s="131">
        <v>50.0</v>
      </c>
      <c r="B54" s="132">
        <v>47359.0</v>
      </c>
      <c r="C54" s="146"/>
      <c r="D54" s="135">
        <f t="shared" si="1"/>
        <v>192.2</v>
      </c>
      <c r="E54" s="135">
        <f t="shared" si="4"/>
        <v>549.1</v>
      </c>
      <c r="F54" s="133">
        <f t="shared" si="2"/>
        <v>741.3</v>
      </c>
      <c r="G54" s="135">
        <f t="shared" si="3"/>
        <v>18669.4</v>
      </c>
    </row>
    <row r="55" ht="14.25" customHeight="1">
      <c r="A55" s="131">
        <v>51.0</v>
      </c>
      <c r="B55" s="132">
        <v>47390.0</v>
      </c>
      <c r="C55" s="146"/>
      <c r="D55" s="135">
        <f t="shared" si="1"/>
        <v>186.7</v>
      </c>
      <c r="E55" s="135">
        <f t="shared" si="4"/>
        <v>549.1</v>
      </c>
      <c r="F55" s="133">
        <f t="shared" si="2"/>
        <v>735.8</v>
      </c>
      <c r="G55" s="135">
        <f t="shared" si="3"/>
        <v>18120.3</v>
      </c>
    </row>
    <row r="56" ht="14.25" customHeight="1">
      <c r="A56" s="131">
        <v>52.0</v>
      </c>
      <c r="B56" s="132">
        <v>47420.0</v>
      </c>
      <c r="C56" s="146"/>
      <c r="D56" s="135">
        <f t="shared" si="1"/>
        <v>181.2</v>
      </c>
      <c r="E56" s="135">
        <f t="shared" si="4"/>
        <v>549.1</v>
      </c>
      <c r="F56" s="133">
        <f t="shared" si="2"/>
        <v>730.3</v>
      </c>
      <c r="G56" s="135">
        <f t="shared" si="3"/>
        <v>17571.2</v>
      </c>
    </row>
    <row r="57" ht="14.25" customHeight="1">
      <c r="A57" s="131">
        <v>53.0</v>
      </c>
      <c r="B57" s="132">
        <v>47451.0</v>
      </c>
      <c r="C57" s="146"/>
      <c r="D57" s="135">
        <f t="shared" si="1"/>
        <v>175.7</v>
      </c>
      <c r="E57" s="135">
        <f t="shared" si="4"/>
        <v>549.1</v>
      </c>
      <c r="F57" s="133">
        <f t="shared" si="2"/>
        <v>724.8</v>
      </c>
      <c r="G57" s="135">
        <f t="shared" si="3"/>
        <v>17022.1</v>
      </c>
    </row>
    <row r="58" ht="14.25" customHeight="1">
      <c r="A58" s="131">
        <v>54.0</v>
      </c>
      <c r="B58" s="132">
        <v>47481.0</v>
      </c>
      <c r="C58" s="146"/>
      <c r="D58" s="135">
        <f t="shared" si="1"/>
        <v>170.2</v>
      </c>
      <c r="E58" s="135">
        <f t="shared" si="4"/>
        <v>549.1</v>
      </c>
      <c r="F58" s="133">
        <f t="shared" si="2"/>
        <v>719.3</v>
      </c>
      <c r="G58" s="135">
        <f t="shared" si="3"/>
        <v>16473</v>
      </c>
    </row>
    <row r="59" ht="14.25" customHeight="1">
      <c r="A59" s="131">
        <v>55.0</v>
      </c>
      <c r="B59" s="132">
        <v>47512.0</v>
      </c>
      <c r="C59" s="146"/>
      <c r="D59" s="135">
        <f t="shared" si="1"/>
        <v>164.7</v>
      </c>
      <c r="E59" s="135">
        <f t="shared" si="4"/>
        <v>549.1</v>
      </c>
      <c r="F59" s="133">
        <f t="shared" si="2"/>
        <v>713.8</v>
      </c>
      <c r="G59" s="135">
        <f t="shared" si="3"/>
        <v>15923.9</v>
      </c>
    </row>
    <row r="60" ht="14.25" customHeight="1">
      <c r="A60" s="131">
        <v>56.0</v>
      </c>
      <c r="B60" s="132">
        <v>47542.0</v>
      </c>
      <c r="C60" s="146"/>
      <c r="D60" s="135">
        <f t="shared" si="1"/>
        <v>159.2</v>
      </c>
      <c r="E60" s="135">
        <f t="shared" si="4"/>
        <v>549.1</v>
      </c>
      <c r="F60" s="133">
        <f t="shared" si="2"/>
        <v>708.3</v>
      </c>
      <c r="G60" s="135">
        <f t="shared" si="3"/>
        <v>15374.8</v>
      </c>
    </row>
    <row r="61" ht="14.25" customHeight="1">
      <c r="A61" s="131">
        <v>57.0</v>
      </c>
      <c r="B61" s="132">
        <v>47571.0</v>
      </c>
      <c r="C61" s="146"/>
      <c r="D61" s="135">
        <f t="shared" si="1"/>
        <v>153.7</v>
      </c>
      <c r="E61" s="135">
        <f t="shared" si="4"/>
        <v>549.1</v>
      </c>
      <c r="F61" s="133">
        <f t="shared" si="2"/>
        <v>702.8</v>
      </c>
      <c r="G61" s="135">
        <f t="shared" si="3"/>
        <v>14825.7</v>
      </c>
    </row>
    <row r="62" ht="14.25" customHeight="1">
      <c r="A62" s="131">
        <v>58.0</v>
      </c>
      <c r="B62" s="132">
        <v>47602.0</v>
      </c>
      <c r="C62" s="146"/>
      <c r="D62" s="135">
        <f t="shared" si="1"/>
        <v>148.3</v>
      </c>
      <c r="E62" s="135">
        <f t="shared" si="4"/>
        <v>549.1</v>
      </c>
      <c r="F62" s="133">
        <f t="shared" si="2"/>
        <v>697.4</v>
      </c>
      <c r="G62" s="135">
        <f t="shared" si="3"/>
        <v>14276.6</v>
      </c>
    </row>
    <row r="63" ht="14.25" customHeight="1">
      <c r="A63" s="131">
        <v>59.0</v>
      </c>
      <c r="B63" s="132">
        <v>47632.0</v>
      </c>
      <c r="C63" s="146"/>
      <c r="D63" s="135">
        <f t="shared" si="1"/>
        <v>142.8</v>
      </c>
      <c r="E63" s="135">
        <f t="shared" si="4"/>
        <v>549.1</v>
      </c>
      <c r="F63" s="133">
        <f t="shared" si="2"/>
        <v>691.9</v>
      </c>
      <c r="G63" s="135">
        <f t="shared" si="3"/>
        <v>13727.5</v>
      </c>
    </row>
    <row r="64" ht="14.25" customHeight="1">
      <c r="A64" s="131">
        <v>60.0</v>
      </c>
      <c r="B64" s="132">
        <v>47663.0</v>
      </c>
      <c r="C64" s="146"/>
      <c r="D64" s="135">
        <f t="shared" si="1"/>
        <v>137.3</v>
      </c>
      <c r="E64" s="135">
        <f t="shared" si="4"/>
        <v>549.1</v>
      </c>
      <c r="F64" s="133">
        <f t="shared" si="2"/>
        <v>686.4</v>
      </c>
      <c r="G64" s="135">
        <f t="shared" si="3"/>
        <v>13178.4</v>
      </c>
    </row>
    <row r="65" ht="14.25" customHeight="1">
      <c r="A65" s="131">
        <v>61.0</v>
      </c>
      <c r="B65" s="132">
        <v>47693.0</v>
      </c>
      <c r="C65" s="146"/>
      <c r="D65" s="135">
        <f t="shared" si="1"/>
        <v>131.8</v>
      </c>
      <c r="E65" s="135">
        <f t="shared" si="4"/>
        <v>549.1</v>
      </c>
      <c r="F65" s="133">
        <f t="shared" si="2"/>
        <v>680.9</v>
      </c>
      <c r="G65" s="135">
        <f t="shared" si="3"/>
        <v>12629.3</v>
      </c>
    </row>
    <row r="66" ht="14.25" customHeight="1">
      <c r="A66" s="131">
        <v>62.0</v>
      </c>
      <c r="B66" s="132">
        <v>47724.0</v>
      </c>
      <c r="C66" s="146"/>
      <c r="D66" s="135">
        <f t="shared" si="1"/>
        <v>126.3</v>
      </c>
      <c r="E66" s="135">
        <f t="shared" si="4"/>
        <v>549.1</v>
      </c>
      <c r="F66" s="133">
        <f t="shared" si="2"/>
        <v>675.4</v>
      </c>
      <c r="G66" s="135">
        <f t="shared" si="3"/>
        <v>12080.2</v>
      </c>
    </row>
    <row r="67" ht="14.25" customHeight="1">
      <c r="A67" s="131">
        <v>63.0</v>
      </c>
      <c r="B67" s="132">
        <v>47755.0</v>
      </c>
      <c r="C67" s="146"/>
      <c r="D67" s="135">
        <f t="shared" si="1"/>
        <v>120.8</v>
      </c>
      <c r="E67" s="135">
        <f t="shared" si="4"/>
        <v>549.1</v>
      </c>
      <c r="F67" s="133">
        <f t="shared" si="2"/>
        <v>669.9</v>
      </c>
      <c r="G67" s="135">
        <f t="shared" si="3"/>
        <v>11531.1</v>
      </c>
    </row>
    <row r="68" ht="14.25" customHeight="1">
      <c r="A68" s="131">
        <v>64.0</v>
      </c>
      <c r="B68" s="132">
        <v>47785.0</v>
      </c>
      <c r="C68" s="146"/>
      <c r="D68" s="135">
        <f t="shared" si="1"/>
        <v>115.3</v>
      </c>
      <c r="E68" s="135">
        <f t="shared" si="4"/>
        <v>549.1</v>
      </c>
      <c r="F68" s="133">
        <f t="shared" si="2"/>
        <v>664.4</v>
      </c>
      <c r="G68" s="135">
        <f t="shared" si="3"/>
        <v>10982</v>
      </c>
    </row>
    <row r="69" ht="14.25" customHeight="1">
      <c r="A69" s="131">
        <v>65.0</v>
      </c>
      <c r="B69" s="132">
        <v>47816.0</v>
      </c>
      <c r="C69" s="146"/>
      <c r="D69" s="135">
        <f t="shared" si="1"/>
        <v>109.8</v>
      </c>
      <c r="E69" s="135">
        <f t="shared" si="4"/>
        <v>549.1</v>
      </c>
      <c r="F69" s="133">
        <f t="shared" si="2"/>
        <v>658.9</v>
      </c>
      <c r="G69" s="135">
        <f t="shared" si="3"/>
        <v>10432.9</v>
      </c>
    </row>
    <row r="70" ht="14.25" customHeight="1">
      <c r="A70" s="131">
        <v>66.0</v>
      </c>
      <c r="B70" s="132">
        <v>47846.0</v>
      </c>
      <c r="C70" s="146"/>
      <c r="D70" s="135">
        <f t="shared" si="1"/>
        <v>104.3</v>
      </c>
      <c r="E70" s="135">
        <f t="shared" si="4"/>
        <v>549.1</v>
      </c>
      <c r="F70" s="133">
        <f t="shared" si="2"/>
        <v>653.4</v>
      </c>
      <c r="G70" s="135">
        <f t="shared" si="3"/>
        <v>9883.8</v>
      </c>
    </row>
    <row r="71" ht="14.25" customHeight="1">
      <c r="A71" s="131">
        <v>67.0</v>
      </c>
      <c r="B71" s="132">
        <v>47877.0</v>
      </c>
      <c r="C71" s="146"/>
      <c r="D71" s="135">
        <f t="shared" si="1"/>
        <v>98.8</v>
      </c>
      <c r="E71" s="135">
        <f t="shared" si="4"/>
        <v>549.1</v>
      </c>
      <c r="F71" s="133">
        <f t="shared" si="2"/>
        <v>647.9</v>
      </c>
      <c r="G71" s="135">
        <f t="shared" si="3"/>
        <v>9334.7</v>
      </c>
    </row>
    <row r="72" ht="14.25" customHeight="1">
      <c r="A72" s="131">
        <v>68.0</v>
      </c>
      <c r="B72" s="132">
        <v>47907.0</v>
      </c>
      <c r="C72" s="146"/>
      <c r="D72" s="135">
        <f t="shared" si="1"/>
        <v>93.3</v>
      </c>
      <c r="E72" s="135">
        <f t="shared" si="4"/>
        <v>549.1</v>
      </c>
      <c r="F72" s="133">
        <f t="shared" si="2"/>
        <v>642.4</v>
      </c>
      <c r="G72" s="135">
        <f t="shared" si="3"/>
        <v>8785.6</v>
      </c>
    </row>
    <row r="73" ht="14.25" customHeight="1">
      <c r="A73" s="131">
        <v>69.0</v>
      </c>
      <c r="B73" s="132">
        <v>47936.0</v>
      </c>
      <c r="C73" s="146"/>
      <c r="D73" s="135">
        <f t="shared" si="1"/>
        <v>87.9</v>
      </c>
      <c r="E73" s="135">
        <f t="shared" si="4"/>
        <v>549.1</v>
      </c>
      <c r="F73" s="133">
        <f t="shared" si="2"/>
        <v>637</v>
      </c>
      <c r="G73" s="135">
        <f t="shared" si="3"/>
        <v>8236.5</v>
      </c>
    </row>
    <row r="74" ht="14.25" customHeight="1">
      <c r="A74" s="131">
        <v>70.0</v>
      </c>
      <c r="B74" s="132">
        <v>47967.0</v>
      </c>
      <c r="C74" s="146"/>
      <c r="D74" s="135">
        <f t="shared" si="1"/>
        <v>82.4</v>
      </c>
      <c r="E74" s="135">
        <f t="shared" si="4"/>
        <v>549.1</v>
      </c>
      <c r="F74" s="133">
        <f t="shared" si="2"/>
        <v>631.5</v>
      </c>
      <c r="G74" s="135">
        <f t="shared" si="3"/>
        <v>7687.4</v>
      </c>
    </row>
    <row r="75" ht="14.25" customHeight="1">
      <c r="A75" s="131">
        <v>71.0</v>
      </c>
      <c r="B75" s="132">
        <v>47997.0</v>
      </c>
      <c r="C75" s="146"/>
      <c r="D75" s="135">
        <f t="shared" si="1"/>
        <v>76.9</v>
      </c>
      <c r="E75" s="135">
        <f t="shared" si="4"/>
        <v>549.1</v>
      </c>
      <c r="F75" s="133">
        <f t="shared" si="2"/>
        <v>626</v>
      </c>
      <c r="G75" s="135">
        <f t="shared" si="3"/>
        <v>7138.3</v>
      </c>
    </row>
    <row r="76" ht="14.25" customHeight="1">
      <c r="A76" s="131">
        <v>72.0</v>
      </c>
      <c r="B76" s="132">
        <v>48028.0</v>
      </c>
      <c r="C76" s="146"/>
      <c r="D76" s="135">
        <f t="shared" si="1"/>
        <v>71.4</v>
      </c>
      <c r="E76" s="135">
        <f t="shared" si="4"/>
        <v>549.1</v>
      </c>
      <c r="F76" s="133">
        <f t="shared" si="2"/>
        <v>620.5</v>
      </c>
      <c r="G76" s="135">
        <f t="shared" si="3"/>
        <v>6589.2</v>
      </c>
    </row>
    <row r="77" ht="14.25" customHeight="1">
      <c r="A77" s="131">
        <v>73.0</v>
      </c>
      <c r="B77" s="132">
        <v>48058.0</v>
      </c>
      <c r="C77" s="146"/>
      <c r="D77" s="135">
        <f t="shared" si="1"/>
        <v>65.9</v>
      </c>
      <c r="E77" s="135">
        <f t="shared" si="4"/>
        <v>549.1</v>
      </c>
      <c r="F77" s="133">
        <f t="shared" si="2"/>
        <v>615</v>
      </c>
      <c r="G77" s="135">
        <f t="shared" si="3"/>
        <v>6040.1</v>
      </c>
    </row>
    <row r="78" ht="14.25" customHeight="1">
      <c r="A78" s="131">
        <v>74.0</v>
      </c>
      <c r="B78" s="132">
        <v>48089.0</v>
      </c>
      <c r="C78" s="146"/>
      <c r="D78" s="135">
        <f t="shared" si="1"/>
        <v>60.4</v>
      </c>
      <c r="E78" s="135">
        <f t="shared" si="4"/>
        <v>549.1</v>
      </c>
      <c r="F78" s="133">
        <f t="shared" si="2"/>
        <v>609.5</v>
      </c>
      <c r="G78" s="135">
        <f t="shared" si="3"/>
        <v>5491</v>
      </c>
    </row>
    <row r="79" ht="14.25" customHeight="1">
      <c r="A79" s="131">
        <v>75.0</v>
      </c>
      <c r="B79" s="132">
        <v>48120.0</v>
      </c>
      <c r="C79" s="146"/>
      <c r="D79" s="135">
        <f t="shared" si="1"/>
        <v>54.9</v>
      </c>
      <c r="E79" s="135">
        <f t="shared" si="4"/>
        <v>549.1</v>
      </c>
      <c r="F79" s="133">
        <f t="shared" si="2"/>
        <v>604</v>
      </c>
      <c r="G79" s="135">
        <f t="shared" si="3"/>
        <v>4941.9</v>
      </c>
    </row>
    <row r="80" ht="14.25" customHeight="1">
      <c r="A80" s="131">
        <v>76.0</v>
      </c>
      <c r="B80" s="132">
        <v>48150.0</v>
      </c>
      <c r="C80" s="146"/>
      <c r="D80" s="135">
        <f t="shared" si="1"/>
        <v>49.4</v>
      </c>
      <c r="E80" s="135">
        <f t="shared" si="4"/>
        <v>549.1</v>
      </c>
      <c r="F80" s="133">
        <f t="shared" si="2"/>
        <v>598.5</v>
      </c>
      <c r="G80" s="135">
        <f t="shared" si="3"/>
        <v>4392.8</v>
      </c>
    </row>
    <row r="81" ht="14.25" customHeight="1">
      <c r="A81" s="131">
        <v>77.0</v>
      </c>
      <c r="B81" s="132">
        <v>48181.0</v>
      </c>
      <c r="C81" s="146"/>
      <c r="D81" s="135">
        <f t="shared" si="1"/>
        <v>43.9</v>
      </c>
      <c r="E81" s="135">
        <f t="shared" si="4"/>
        <v>549.1</v>
      </c>
      <c r="F81" s="133">
        <f t="shared" si="2"/>
        <v>593</v>
      </c>
      <c r="G81" s="135">
        <f t="shared" si="3"/>
        <v>3843.7</v>
      </c>
    </row>
    <row r="82" ht="14.25" customHeight="1">
      <c r="A82" s="131">
        <v>78.0</v>
      </c>
      <c r="B82" s="132">
        <v>48211.0</v>
      </c>
      <c r="C82" s="146"/>
      <c r="D82" s="135">
        <f t="shared" si="1"/>
        <v>38.4</v>
      </c>
      <c r="E82" s="135">
        <f t="shared" si="4"/>
        <v>549.1</v>
      </c>
      <c r="F82" s="133">
        <f t="shared" si="2"/>
        <v>587.5</v>
      </c>
      <c r="G82" s="135">
        <f t="shared" si="3"/>
        <v>3294.6</v>
      </c>
    </row>
    <row r="83" ht="14.25" customHeight="1">
      <c r="A83" s="131">
        <v>79.0</v>
      </c>
      <c r="B83" s="132">
        <v>48242.0</v>
      </c>
      <c r="C83" s="146"/>
      <c r="D83" s="135">
        <f t="shared" si="1"/>
        <v>32.9</v>
      </c>
      <c r="E83" s="135">
        <f t="shared" si="4"/>
        <v>549.1</v>
      </c>
      <c r="F83" s="133">
        <f t="shared" si="2"/>
        <v>582</v>
      </c>
      <c r="G83" s="135">
        <f t="shared" si="3"/>
        <v>2745.5</v>
      </c>
    </row>
    <row r="84" ht="14.25" customHeight="1">
      <c r="A84" s="131">
        <v>80.0</v>
      </c>
      <c r="B84" s="132">
        <v>48273.0</v>
      </c>
      <c r="C84" s="146"/>
      <c r="D84" s="135">
        <f t="shared" si="1"/>
        <v>27.5</v>
      </c>
      <c r="E84" s="135">
        <f t="shared" si="4"/>
        <v>549.1</v>
      </c>
      <c r="F84" s="133">
        <f t="shared" si="2"/>
        <v>576.6</v>
      </c>
      <c r="G84" s="135">
        <f t="shared" si="3"/>
        <v>2196.4</v>
      </c>
    </row>
    <row r="85" ht="14.25" customHeight="1">
      <c r="A85" s="131">
        <v>81.0</v>
      </c>
      <c r="B85" s="132">
        <v>48302.0</v>
      </c>
      <c r="C85" s="146"/>
      <c r="D85" s="135">
        <f t="shared" si="1"/>
        <v>22</v>
      </c>
      <c r="E85" s="135">
        <f t="shared" si="4"/>
        <v>549.1</v>
      </c>
      <c r="F85" s="133">
        <f t="shared" si="2"/>
        <v>571.1</v>
      </c>
      <c r="G85" s="135">
        <f t="shared" si="3"/>
        <v>1647.3</v>
      </c>
    </row>
    <row r="86" ht="14.25" customHeight="1">
      <c r="A86" s="131">
        <v>82.0</v>
      </c>
      <c r="B86" s="132">
        <v>48333.0</v>
      </c>
      <c r="C86" s="146"/>
      <c r="D86" s="135">
        <f t="shared" si="1"/>
        <v>16.5</v>
      </c>
      <c r="E86" s="135">
        <f t="shared" si="4"/>
        <v>549.1</v>
      </c>
      <c r="F86" s="133">
        <f t="shared" si="2"/>
        <v>565.6</v>
      </c>
      <c r="G86" s="135">
        <f t="shared" si="3"/>
        <v>1098.2</v>
      </c>
    </row>
    <row r="87" ht="14.25" customHeight="1">
      <c r="A87" s="131">
        <v>83.0</v>
      </c>
      <c r="B87" s="132">
        <v>48363.0</v>
      </c>
      <c r="C87" s="146"/>
      <c r="D87" s="135">
        <f t="shared" si="1"/>
        <v>11</v>
      </c>
      <c r="E87" s="135">
        <f t="shared" si="4"/>
        <v>549.1</v>
      </c>
      <c r="F87" s="133">
        <f t="shared" si="2"/>
        <v>560.1</v>
      </c>
      <c r="G87" s="135">
        <f t="shared" si="3"/>
        <v>549.1</v>
      </c>
    </row>
    <row r="88" ht="14.25" customHeight="1">
      <c r="A88" s="131">
        <v>84.0</v>
      </c>
      <c r="B88" s="132">
        <v>48394.0</v>
      </c>
      <c r="C88" s="146"/>
      <c r="D88" s="135">
        <f t="shared" si="1"/>
        <v>5.5</v>
      </c>
      <c r="E88" s="135">
        <f t="shared" si="4"/>
        <v>549.1</v>
      </c>
      <c r="F88" s="133">
        <f t="shared" si="2"/>
        <v>554.6</v>
      </c>
      <c r="G88" s="135">
        <f t="shared" si="3"/>
        <v>0</v>
      </c>
    </row>
    <row r="89" ht="14.25" customHeight="1">
      <c r="A89" s="129" t="s">
        <v>252</v>
      </c>
      <c r="B89" s="2"/>
      <c r="C89" s="3"/>
      <c r="D89" s="147">
        <f t="shared" ref="D89:F89" si="5">+SUM(D5:D88)</f>
        <v>19603</v>
      </c>
      <c r="E89" s="147">
        <f t="shared" si="5"/>
        <v>46124.4</v>
      </c>
      <c r="F89" s="147">
        <f t="shared" si="5"/>
        <v>65727.4</v>
      </c>
      <c r="G89" s="148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4" width="13.88"/>
    <col customWidth="1" min="5" max="5" width="17.0"/>
    <col customWidth="1" min="6" max="6" width="13.88"/>
    <col customWidth="1" min="7" max="7" width="13.75"/>
    <col customWidth="1" min="8" max="8" width="4.5"/>
    <col customWidth="1" min="9" max="9" width="15.88"/>
    <col customWidth="1" min="10" max="10" width="14.25"/>
    <col customWidth="1" min="11" max="26" width="10.63"/>
  </cols>
  <sheetData>
    <row r="1" ht="14.25" customHeight="1">
      <c r="A1" s="128" t="s">
        <v>347</v>
      </c>
      <c r="B1" s="2"/>
      <c r="C1" s="2"/>
      <c r="D1" s="2"/>
      <c r="E1" s="2"/>
      <c r="F1" s="2"/>
      <c r="G1" s="3"/>
    </row>
    <row r="2" ht="14.25" customHeight="1">
      <c r="A2" s="129" t="s">
        <v>348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45533.0</v>
      </c>
      <c r="C4" s="133">
        <f>+J7</f>
        <v>14825.9</v>
      </c>
      <c r="D4" s="134">
        <v>0.01</v>
      </c>
      <c r="E4" s="135"/>
      <c r="F4" s="135"/>
      <c r="G4" s="135">
        <f>+C4</f>
        <v>14825.9</v>
      </c>
    </row>
    <row r="5" ht="14.25" customHeight="1">
      <c r="A5" s="136">
        <v>1.0</v>
      </c>
      <c r="B5" s="137">
        <v>45564.0</v>
      </c>
      <c r="C5" s="138"/>
      <c r="D5" s="138">
        <f t="shared" ref="D5:D52" si="1">+ROUND(G4*0.01,1)</f>
        <v>148.3</v>
      </c>
      <c r="E5" s="138">
        <f t="shared" ref="E5:E51" si="2">ROUNDUP($C$4/48,1)</f>
        <v>308.9</v>
      </c>
      <c r="F5" s="139">
        <f t="shared" ref="F5:F52" si="3">+ROUND(D5+E5,1)</f>
        <v>457.2</v>
      </c>
      <c r="G5" s="138">
        <f t="shared" ref="G5:G52" si="4">+ROUND(G4-E5,1)</f>
        <v>14517</v>
      </c>
      <c r="I5" s="140" t="s">
        <v>209</v>
      </c>
      <c r="J5" s="153">
        <v>3039.9000000000065</v>
      </c>
    </row>
    <row r="6" ht="14.25" customHeight="1">
      <c r="A6" s="136">
        <v>2.0</v>
      </c>
      <c r="B6" s="137">
        <v>45594.0</v>
      </c>
      <c r="C6" s="144"/>
      <c r="D6" s="138">
        <f t="shared" si="1"/>
        <v>145.2</v>
      </c>
      <c r="E6" s="138">
        <f t="shared" si="2"/>
        <v>308.9</v>
      </c>
      <c r="F6" s="139">
        <f t="shared" si="3"/>
        <v>454.1</v>
      </c>
      <c r="G6" s="138">
        <f t="shared" si="4"/>
        <v>14208.1</v>
      </c>
      <c r="I6" s="140" t="s">
        <v>331</v>
      </c>
      <c r="J6" s="153">
        <v>11786.0</v>
      </c>
    </row>
    <row r="7" ht="14.25" customHeight="1">
      <c r="A7" s="136">
        <v>3.0</v>
      </c>
      <c r="B7" s="137">
        <v>45625.0</v>
      </c>
      <c r="C7" s="144"/>
      <c r="D7" s="138">
        <f t="shared" si="1"/>
        <v>142.1</v>
      </c>
      <c r="E7" s="138">
        <f t="shared" si="2"/>
        <v>308.9</v>
      </c>
      <c r="F7" s="139">
        <f t="shared" si="3"/>
        <v>451</v>
      </c>
      <c r="G7" s="138">
        <f t="shared" si="4"/>
        <v>13899.2</v>
      </c>
      <c r="I7" s="142" t="s">
        <v>252</v>
      </c>
      <c r="J7" s="158">
        <f>+SUM(J5:J6)</f>
        <v>14825.9</v>
      </c>
    </row>
    <row r="8" ht="14.25" customHeight="1">
      <c r="A8" s="136">
        <v>4.0</v>
      </c>
      <c r="B8" s="137">
        <v>45655.0</v>
      </c>
      <c r="C8" s="144"/>
      <c r="D8" s="138">
        <f t="shared" si="1"/>
        <v>139</v>
      </c>
      <c r="E8" s="138">
        <f t="shared" si="2"/>
        <v>308.9</v>
      </c>
      <c r="F8" s="139">
        <f t="shared" si="3"/>
        <v>447.9</v>
      </c>
      <c r="G8" s="138">
        <f t="shared" si="4"/>
        <v>13590.3</v>
      </c>
    </row>
    <row r="9" ht="14.25" customHeight="1">
      <c r="A9" s="136">
        <v>5.0</v>
      </c>
      <c r="B9" s="137">
        <v>45686.0</v>
      </c>
      <c r="C9" s="144"/>
      <c r="D9" s="138">
        <f t="shared" si="1"/>
        <v>135.9</v>
      </c>
      <c r="E9" s="138">
        <f t="shared" si="2"/>
        <v>308.9</v>
      </c>
      <c r="F9" s="139">
        <f t="shared" si="3"/>
        <v>444.8</v>
      </c>
      <c r="G9" s="138">
        <f t="shared" si="4"/>
        <v>13281.4</v>
      </c>
    </row>
    <row r="10" ht="14.25" customHeight="1">
      <c r="A10" s="136">
        <v>6.0</v>
      </c>
      <c r="B10" s="137">
        <v>45716.0</v>
      </c>
      <c r="C10" s="144"/>
      <c r="D10" s="138">
        <f t="shared" si="1"/>
        <v>132.8</v>
      </c>
      <c r="E10" s="138">
        <f t="shared" si="2"/>
        <v>308.9</v>
      </c>
      <c r="F10" s="139">
        <f t="shared" si="3"/>
        <v>441.7</v>
      </c>
      <c r="G10" s="138">
        <f t="shared" si="4"/>
        <v>12972.5</v>
      </c>
    </row>
    <row r="11" ht="14.25" customHeight="1">
      <c r="A11" s="136">
        <v>7.0</v>
      </c>
      <c r="B11" s="137">
        <v>45745.0</v>
      </c>
      <c r="C11" s="144"/>
      <c r="D11" s="138">
        <f t="shared" si="1"/>
        <v>129.7</v>
      </c>
      <c r="E11" s="138">
        <f t="shared" si="2"/>
        <v>308.9</v>
      </c>
      <c r="F11" s="139">
        <f t="shared" si="3"/>
        <v>438.6</v>
      </c>
      <c r="G11" s="138">
        <f t="shared" si="4"/>
        <v>12663.6</v>
      </c>
    </row>
    <row r="12" ht="14.25" customHeight="1">
      <c r="A12" s="136">
        <v>8.0</v>
      </c>
      <c r="B12" s="137">
        <v>45776.0</v>
      </c>
      <c r="C12" s="144"/>
      <c r="D12" s="138">
        <f t="shared" si="1"/>
        <v>126.6</v>
      </c>
      <c r="E12" s="138">
        <f t="shared" si="2"/>
        <v>308.9</v>
      </c>
      <c r="F12" s="139">
        <f t="shared" si="3"/>
        <v>435.5</v>
      </c>
      <c r="G12" s="138">
        <f t="shared" si="4"/>
        <v>12354.7</v>
      </c>
    </row>
    <row r="13" ht="14.25" customHeight="1">
      <c r="A13" s="136">
        <v>9.0</v>
      </c>
      <c r="B13" s="137">
        <v>45806.0</v>
      </c>
      <c r="C13" s="144"/>
      <c r="D13" s="138">
        <f t="shared" si="1"/>
        <v>123.5</v>
      </c>
      <c r="E13" s="138">
        <f t="shared" si="2"/>
        <v>308.9</v>
      </c>
      <c r="F13" s="139">
        <f t="shared" si="3"/>
        <v>432.4</v>
      </c>
      <c r="G13" s="138">
        <f t="shared" si="4"/>
        <v>12045.8</v>
      </c>
    </row>
    <row r="14" ht="14.25" customHeight="1">
      <c r="A14" s="136">
        <v>10.0</v>
      </c>
      <c r="B14" s="137">
        <v>45837.0</v>
      </c>
      <c r="C14" s="144"/>
      <c r="D14" s="138">
        <f t="shared" si="1"/>
        <v>120.5</v>
      </c>
      <c r="E14" s="138">
        <f t="shared" si="2"/>
        <v>308.9</v>
      </c>
      <c r="F14" s="139">
        <f t="shared" si="3"/>
        <v>429.4</v>
      </c>
      <c r="G14" s="138">
        <f t="shared" si="4"/>
        <v>11736.9</v>
      </c>
    </row>
    <row r="15" ht="14.25" customHeight="1">
      <c r="A15" s="136">
        <v>11.0</v>
      </c>
      <c r="B15" s="137">
        <v>45867.0</v>
      </c>
      <c r="C15" s="144"/>
      <c r="D15" s="138">
        <f t="shared" si="1"/>
        <v>117.4</v>
      </c>
      <c r="E15" s="138">
        <f t="shared" si="2"/>
        <v>308.9</v>
      </c>
      <c r="F15" s="139">
        <f t="shared" si="3"/>
        <v>426.3</v>
      </c>
      <c r="G15" s="138">
        <f t="shared" si="4"/>
        <v>11428</v>
      </c>
    </row>
    <row r="16" ht="14.25" customHeight="1">
      <c r="A16" s="136">
        <v>12.0</v>
      </c>
      <c r="B16" s="137">
        <v>45898.0</v>
      </c>
      <c r="C16" s="144"/>
      <c r="D16" s="138">
        <f t="shared" si="1"/>
        <v>114.3</v>
      </c>
      <c r="E16" s="138">
        <f t="shared" si="2"/>
        <v>308.9</v>
      </c>
      <c r="F16" s="139">
        <f t="shared" si="3"/>
        <v>423.2</v>
      </c>
      <c r="G16" s="138">
        <f t="shared" si="4"/>
        <v>11119.1</v>
      </c>
    </row>
    <row r="17" ht="14.25" customHeight="1">
      <c r="A17" s="136">
        <v>13.0</v>
      </c>
      <c r="B17" s="137">
        <v>45929.0</v>
      </c>
      <c r="C17" s="144"/>
      <c r="D17" s="138">
        <f t="shared" si="1"/>
        <v>111.2</v>
      </c>
      <c r="E17" s="138">
        <f t="shared" si="2"/>
        <v>308.9</v>
      </c>
      <c r="F17" s="139">
        <f t="shared" si="3"/>
        <v>420.1</v>
      </c>
      <c r="G17" s="138">
        <f t="shared" si="4"/>
        <v>10810.2</v>
      </c>
      <c r="I17" s="152" t="s">
        <v>328</v>
      </c>
      <c r="J17" s="153">
        <f>SUM(D5:D18)</f>
        <v>1794.6</v>
      </c>
    </row>
    <row r="18" ht="14.25" customHeight="1">
      <c r="A18" s="154">
        <v>14.0</v>
      </c>
      <c r="B18" s="155">
        <v>45959.0</v>
      </c>
      <c r="C18" s="156"/>
      <c r="D18" s="157">
        <f t="shared" si="1"/>
        <v>108.1</v>
      </c>
      <c r="E18" s="157">
        <f t="shared" si="2"/>
        <v>308.9</v>
      </c>
      <c r="F18" s="157">
        <f t="shared" si="3"/>
        <v>417</v>
      </c>
      <c r="G18" s="157">
        <f t="shared" si="4"/>
        <v>10501.3</v>
      </c>
      <c r="I18" s="152" t="s">
        <v>209</v>
      </c>
      <c r="J18" s="153">
        <f>G18</f>
        <v>10501.3</v>
      </c>
    </row>
    <row r="19" ht="14.25" hidden="1" customHeight="1">
      <c r="A19" s="159">
        <v>15.0</v>
      </c>
      <c r="B19" s="160">
        <v>45990.0</v>
      </c>
      <c r="C19" s="161"/>
      <c r="D19" s="162">
        <f t="shared" si="1"/>
        <v>105</v>
      </c>
      <c r="E19" s="162">
        <f t="shared" si="2"/>
        <v>308.9</v>
      </c>
      <c r="F19" s="163">
        <f t="shared" si="3"/>
        <v>413.9</v>
      </c>
      <c r="G19" s="162">
        <f t="shared" si="4"/>
        <v>10192.4</v>
      </c>
    </row>
    <row r="20" ht="14.25" hidden="1" customHeight="1">
      <c r="A20" s="159">
        <v>16.0</v>
      </c>
      <c r="B20" s="160">
        <v>46020.0</v>
      </c>
      <c r="C20" s="161"/>
      <c r="D20" s="162">
        <f t="shared" si="1"/>
        <v>101.9</v>
      </c>
      <c r="E20" s="162">
        <f t="shared" si="2"/>
        <v>308.9</v>
      </c>
      <c r="F20" s="163">
        <f t="shared" si="3"/>
        <v>410.8</v>
      </c>
      <c r="G20" s="162">
        <f t="shared" si="4"/>
        <v>9883.5</v>
      </c>
    </row>
    <row r="21" ht="14.25" hidden="1" customHeight="1">
      <c r="A21" s="159">
        <v>17.0</v>
      </c>
      <c r="B21" s="160">
        <v>46051.0</v>
      </c>
      <c r="C21" s="161"/>
      <c r="D21" s="162">
        <f t="shared" si="1"/>
        <v>98.8</v>
      </c>
      <c r="E21" s="162">
        <f t="shared" si="2"/>
        <v>308.9</v>
      </c>
      <c r="F21" s="163">
        <f t="shared" si="3"/>
        <v>407.7</v>
      </c>
      <c r="G21" s="162">
        <f t="shared" si="4"/>
        <v>9574.6</v>
      </c>
    </row>
    <row r="22" ht="14.25" hidden="1" customHeight="1">
      <c r="A22" s="159">
        <v>18.0</v>
      </c>
      <c r="B22" s="160">
        <v>46081.0</v>
      </c>
      <c r="C22" s="161"/>
      <c r="D22" s="162">
        <f t="shared" si="1"/>
        <v>95.7</v>
      </c>
      <c r="E22" s="162">
        <f t="shared" si="2"/>
        <v>308.9</v>
      </c>
      <c r="F22" s="163">
        <f t="shared" si="3"/>
        <v>404.6</v>
      </c>
      <c r="G22" s="162">
        <f t="shared" si="4"/>
        <v>9265.7</v>
      </c>
    </row>
    <row r="23" ht="14.25" hidden="1" customHeight="1">
      <c r="A23" s="159">
        <v>19.0</v>
      </c>
      <c r="B23" s="160">
        <v>46110.0</v>
      </c>
      <c r="C23" s="161"/>
      <c r="D23" s="162">
        <f t="shared" si="1"/>
        <v>92.7</v>
      </c>
      <c r="E23" s="162">
        <f t="shared" si="2"/>
        <v>308.9</v>
      </c>
      <c r="F23" s="163">
        <f t="shared" si="3"/>
        <v>401.6</v>
      </c>
      <c r="G23" s="162">
        <f t="shared" si="4"/>
        <v>8956.8</v>
      </c>
    </row>
    <row r="24" ht="14.25" hidden="1" customHeight="1">
      <c r="A24" s="159">
        <v>20.0</v>
      </c>
      <c r="B24" s="160">
        <v>46141.0</v>
      </c>
      <c r="C24" s="161"/>
      <c r="D24" s="162">
        <f t="shared" si="1"/>
        <v>89.6</v>
      </c>
      <c r="E24" s="162">
        <f t="shared" si="2"/>
        <v>308.9</v>
      </c>
      <c r="F24" s="163">
        <f t="shared" si="3"/>
        <v>398.5</v>
      </c>
      <c r="G24" s="162">
        <f t="shared" si="4"/>
        <v>8647.9</v>
      </c>
    </row>
    <row r="25" ht="14.25" hidden="1" customHeight="1">
      <c r="A25" s="159">
        <v>21.0</v>
      </c>
      <c r="B25" s="160">
        <v>46171.0</v>
      </c>
      <c r="C25" s="161"/>
      <c r="D25" s="162">
        <f t="shared" si="1"/>
        <v>86.5</v>
      </c>
      <c r="E25" s="162">
        <f t="shared" si="2"/>
        <v>308.9</v>
      </c>
      <c r="F25" s="163">
        <f t="shared" si="3"/>
        <v>395.4</v>
      </c>
      <c r="G25" s="162">
        <f t="shared" si="4"/>
        <v>8339</v>
      </c>
    </row>
    <row r="26" ht="14.25" hidden="1" customHeight="1">
      <c r="A26" s="159">
        <v>22.0</v>
      </c>
      <c r="B26" s="160">
        <v>46202.0</v>
      </c>
      <c r="C26" s="161"/>
      <c r="D26" s="162">
        <f t="shared" si="1"/>
        <v>83.4</v>
      </c>
      <c r="E26" s="162">
        <f t="shared" si="2"/>
        <v>308.9</v>
      </c>
      <c r="F26" s="163">
        <f t="shared" si="3"/>
        <v>392.3</v>
      </c>
      <c r="G26" s="162">
        <f t="shared" si="4"/>
        <v>8030.1</v>
      </c>
    </row>
    <row r="27" ht="14.25" hidden="1" customHeight="1">
      <c r="A27" s="159">
        <v>23.0</v>
      </c>
      <c r="B27" s="160">
        <v>46232.0</v>
      </c>
      <c r="C27" s="161"/>
      <c r="D27" s="162">
        <f t="shared" si="1"/>
        <v>80.3</v>
      </c>
      <c r="E27" s="162">
        <f t="shared" si="2"/>
        <v>308.9</v>
      </c>
      <c r="F27" s="163">
        <f t="shared" si="3"/>
        <v>389.2</v>
      </c>
      <c r="G27" s="162">
        <f t="shared" si="4"/>
        <v>7721.2</v>
      </c>
    </row>
    <row r="28" ht="14.25" hidden="1" customHeight="1">
      <c r="A28" s="159">
        <v>24.0</v>
      </c>
      <c r="B28" s="160">
        <v>46263.0</v>
      </c>
      <c r="C28" s="161"/>
      <c r="D28" s="162">
        <f t="shared" si="1"/>
        <v>77.2</v>
      </c>
      <c r="E28" s="162">
        <f t="shared" si="2"/>
        <v>308.9</v>
      </c>
      <c r="F28" s="163">
        <f t="shared" si="3"/>
        <v>386.1</v>
      </c>
      <c r="G28" s="162">
        <f t="shared" si="4"/>
        <v>7412.3</v>
      </c>
    </row>
    <row r="29" ht="14.25" hidden="1" customHeight="1">
      <c r="A29" s="159">
        <v>25.0</v>
      </c>
      <c r="B29" s="160">
        <v>46294.0</v>
      </c>
      <c r="C29" s="161"/>
      <c r="D29" s="162">
        <f t="shared" si="1"/>
        <v>74.1</v>
      </c>
      <c r="E29" s="162">
        <f t="shared" si="2"/>
        <v>308.9</v>
      </c>
      <c r="F29" s="163">
        <f t="shared" si="3"/>
        <v>383</v>
      </c>
      <c r="G29" s="162">
        <f t="shared" si="4"/>
        <v>7103.4</v>
      </c>
    </row>
    <row r="30" ht="14.25" hidden="1" customHeight="1">
      <c r="A30" s="159">
        <v>26.0</v>
      </c>
      <c r="B30" s="160">
        <v>46324.0</v>
      </c>
      <c r="C30" s="161"/>
      <c r="D30" s="162">
        <f t="shared" si="1"/>
        <v>71</v>
      </c>
      <c r="E30" s="162">
        <f t="shared" si="2"/>
        <v>308.9</v>
      </c>
      <c r="F30" s="163">
        <f t="shared" si="3"/>
        <v>379.9</v>
      </c>
      <c r="G30" s="162">
        <f t="shared" si="4"/>
        <v>6794.5</v>
      </c>
    </row>
    <row r="31" ht="14.25" hidden="1" customHeight="1">
      <c r="A31" s="159">
        <v>27.0</v>
      </c>
      <c r="B31" s="160">
        <v>46355.0</v>
      </c>
      <c r="C31" s="161"/>
      <c r="D31" s="162">
        <f t="shared" si="1"/>
        <v>67.9</v>
      </c>
      <c r="E31" s="162">
        <f t="shared" si="2"/>
        <v>308.9</v>
      </c>
      <c r="F31" s="163">
        <f t="shared" si="3"/>
        <v>376.8</v>
      </c>
      <c r="G31" s="162">
        <f t="shared" si="4"/>
        <v>6485.6</v>
      </c>
    </row>
    <row r="32" ht="14.25" hidden="1" customHeight="1">
      <c r="A32" s="159">
        <v>28.0</v>
      </c>
      <c r="B32" s="160">
        <v>46385.0</v>
      </c>
      <c r="C32" s="161"/>
      <c r="D32" s="162">
        <f t="shared" si="1"/>
        <v>64.9</v>
      </c>
      <c r="E32" s="162">
        <f t="shared" si="2"/>
        <v>308.9</v>
      </c>
      <c r="F32" s="163">
        <f t="shared" si="3"/>
        <v>373.8</v>
      </c>
      <c r="G32" s="162">
        <f t="shared" si="4"/>
        <v>6176.7</v>
      </c>
    </row>
    <row r="33" ht="14.25" hidden="1" customHeight="1">
      <c r="A33" s="159">
        <v>29.0</v>
      </c>
      <c r="B33" s="160">
        <v>46416.0</v>
      </c>
      <c r="C33" s="161"/>
      <c r="D33" s="162">
        <f t="shared" si="1"/>
        <v>61.8</v>
      </c>
      <c r="E33" s="162">
        <f t="shared" si="2"/>
        <v>308.9</v>
      </c>
      <c r="F33" s="163">
        <f t="shared" si="3"/>
        <v>370.7</v>
      </c>
      <c r="G33" s="162">
        <f t="shared" si="4"/>
        <v>5867.8</v>
      </c>
    </row>
    <row r="34" ht="14.25" hidden="1" customHeight="1">
      <c r="A34" s="159">
        <v>30.0</v>
      </c>
      <c r="B34" s="160">
        <v>46446.0</v>
      </c>
      <c r="C34" s="161"/>
      <c r="D34" s="162">
        <f t="shared" si="1"/>
        <v>58.7</v>
      </c>
      <c r="E34" s="162">
        <f t="shared" si="2"/>
        <v>308.9</v>
      </c>
      <c r="F34" s="163">
        <f t="shared" si="3"/>
        <v>367.6</v>
      </c>
      <c r="G34" s="162">
        <f t="shared" si="4"/>
        <v>5558.9</v>
      </c>
    </row>
    <row r="35" ht="14.25" hidden="1" customHeight="1">
      <c r="A35" s="159">
        <v>31.0</v>
      </c>
      <c r="B35" s="160">
        <v>46475.0</v>
      </c>
      <c r="C35" s="161"/>
      <c r="D35" s="162">
        <f t="shared" si="1"/>
        <v>55.6</v>
      </c>
      <c r="E35" s="162">
        <f t="shared" si="2"/>
        <v>308.9</v>
      </c>
      <c r="F35" s="163">
        <f t="shared" si="3"/>
        <v>364.5</v>
      </c>
      <c r="G35" s="162">
        <f t="shared" si="4"/>
        <v>5250</v>
      </c>
    </row>
    <row r="36" ht="14.25" hidden="1" customHeight="1">
      <c r="A36" s="159">
        <v>32.0</v>
      </c>
      <c r="B36" s="160">
        <v>46506.0</v>
      </c>
      <c r="C36" s="161"/>
      <c r="D36" s="162">
        <f t="shared" si="1"/>
        <v>52.5</v>
      </c>
      <c r="E36" s="162">
        <f t="shared" si="2"/>
        <v>308.9</v>
      </c>
      <c r="F36" s="163">
        <f t="shared" si="3"/>
        <v>361.4</v>
      </c>
      <c r="G36" s="162">
        <f t="shared" si="4"/>
        <v>4941.1</v>
      </c>
    </row>
    <row r="37" ht="14.25" hidden="1" customHeight="1">
      <c r="A37" s="159">
        <v>33.0</v>
      </c>
      <c r="B37" s="160">
        <v>46536.0</v>
      </c>
      <c r="C37" s="161"/>
      <c r="D37" s="162">
        <f t="shared" si="1"/>
        <v>49.4</v>
      </c>
      <c r="E37" s="162">
        <f t="shared" si="2"/>
        <v>308.9</v>
      </c>
      <c r="F37" s="163">
        <f t="shared" si="3"/>
        <v>358.3</v>
      </c>
      <c r="G37" s="162">
        <f t="shared" si="4"/>
        <v>4632.2</v>
      </c>
    </row>
    <row r="38" ht="14.25" hidden="1" customHeight="1">
      <c r="A38" s="159">
        <v>34.0</v>
      </c>
      <c r="B38" s="160">
        <v>46567.0</v>
      </c>
      <c r="C38" s="161"/>
      <c r="D38" s="162">
        <f t="shared" si="1"/>
        <v>46.3</v>
      </c>
      <c r="E38" s="162">
        <f t="shared" si="2"/>
        <v>308.9</v>
      </c>
      <c r="F38" s="163">
        <f t="shared" si="3"/>
        <v>355.2</v>
      </c>
      <c r="G38" s="162">
        <f t="shared" si="4"/>
        <v>4323.3</v>
      </c>
    </row>
    <row r="39" ht="14.25" hidden="1" customHeight="1">
      <c r="A39" s="159">
        <v>35.0</v>
      </c>
      <c r="B39" s="160">
        <v>46597.0</v>
      </c>
      <c r="C39" s="161"/>
      <c r="D39" s="162">
        <f t="shared" si="1"/>
        <v>43.2</v>
      </c>
      <c r="E39" s="162">
        <f t="shared" si="2"/>
        <v>308.9</v>
      </c>
      <c r="F39" s="163">
        <f t="shared" si="3"/>
        <v>352.1</v>
      </c>
      <c r="G39" s="162">
        <f t="shared" si="4"/>
        <v>4014.4</v>
      </c>
    </row>
    <row r="40" ht="14.25" hidden="1" customHeight="1">
      <c r="A40" s="159">
        <v>36.0</v>
      </c>
      <c r="B40" s="160">
        <v>46628.0</v>
      </c>
      <c r="C40" s="161"/>
      <c r="D40" s="162">
        <f t="shared" si="1"/>
        <v>40.1</v>
      </c>
      <c r="E40" s="162">
        <f t="shared" si="2"/>
        <v>308.9</v>
      </c>
      <c r="F40" s="163">
        <f t="shared" si="3"/>
        <v>349</v>
      </c>
      <c r="G40" s="162">
        <f t="shared" si="4"/>
        <v>3705.5</v>
      </c>
    </row>
    <row r="41" ht="14.25" hidden="1" customHeight="1">
      <c r="A41" s="159">
        <v>37.0</v>
      </c>
      <c r="B41" s="160">
        <v>46659.0</v>
      </c>
      <c r="C41" s="161"/>
      <c r="D41" s="162">
        <f t="shared" si="1"/>
        <v>37.1</v>
      </c>
      <c r="E41" s="162">
        <f t="shared" si="2"/>
        <v>308.9</v>
      </c>
      <c r="F41" s="163">
        <f t="shared" si="3"/>
        <v>346</v>
      </c>
      <c r="G41" s="162">
        <f t="shared" si="4"/>
        <v>3396.6</v>
      </c>
    </row>
    <row r="42" ht="14.25" hidden="1" customHeight="1">
      <c r="A42" s="159">
        <v>38.0</v>
      </c>
      <c r="B42" s="160">
        <v>46689.0</v>
      </c>
      <c r="C42" s="161"/>
      <c r="D42" s="162">
        <f t="shared" si="1"/>
        <v>34</v>
      </c>
      <c r="E42" s="162">
        <f t="shared" si="2"/>
        <v>308.9</v>
      </c>
      <c r="F42" s="163">
        <f t="shared" si="3"/>
        <v>342.9</v>
      </c>
      <c r="G42" s="162">
        <f t="shared" si="4"/>
        <v>3087.7</v>
      </c>
    </row>
    <row r="43" ht="14.25" hidden="1" customHeight="1">
      <c r="A43" s="159">
        <v>39.0</v>
      </c>
      <c r="B43" s="160">
        <v>46720.0</v>
      </c>
      <c r="C43" s="161"/>
      <c r="D43" s="162">
        <f t="shared" si="1"/>
        <v>30.9</v>
      </c>
      <c r="E43" s="162">
        <f t="shared" si="2"/>
        <v>308.9</v>
      </c>
      <c r="F43" s="163">
        <f t="shared" si="3"/>
        <v>339.8</v>
      </c>
      <c r="G43" s="162">
        <f t="shared" si="4"/>
        <v>2778.8</v>
      </c>
    </row>
    <row r="44" ht="14.25" hidden="1" customHeight="1">
      <c r="A44" s="159">
        <v>40.0</v>
      </c>
      <c r="B44" s="160">
        <v>46750.0</v>
      </c>
      <c r="C44" s="161"/>
      <c r="D44" s="162">
        <f t="shared" si="1"/>
        <v>27.8</v>
      </c>
      <c r="E44" s="162">
        <f t="shared" si="2"/>
        <v>308.9</v>
      </c>
      <c r="F44" s="163">
        <f t="shared" si="3"/>
        <v>336.7</v>
      </c>
      <c r="G44" s="162">
        <f t="shared" si="4"/>
        <v>2469.9</v>
      </c>
    </row>
    <row r="45" ht="14.25" hidden="1" customHeight="1">
      <c r="A45" s="159">
        <v>41.0</v>
      </c>
      <c r="B45" s="160">
        <v>46781.0</v>
      </c>
      <c r="C45" s="161"/>
      <c r="D45" s="162">
        <f t="shared" si="1"/>
        <v>24.7</v>
      </c>
      <c r="E45" s="162">
        <f t="shared" si="2"/>
        <v>308.9</v>
      </c>
      <c r="F45" s="163">
        <f t="shared" si="3"/>
        <v>333.6</v>
      </c>
      <c r="G45" s="162">
        <f t="shared" si="4"/>
        <v>2161</v>
      </c>
    </row>
    <row r="46" ht="14.25" hidden="1" customHeight="1">
      <c r="A46" s="159">
        <v>42.0</v>
      </c>
      <c r="B46" s="160">
        <v>46812.0</v>
      </c>
      <c r="C46" s="161"/>
      <c r="D46" s="162">
        <f t="shared" si="1"/>
        <v>21.6</v>
      </c>
      <c r="E46" s="162">
        <f t="shared" si="2"/>
        <v>308.9</v>
      </c>
      <c r="F46" s="163">
        <f t="shared" si="3"/>
        <v>330.5</v>
      </c>
      <c r="G46" s="162">
        <f t="shared" si="4"/>
        <v>1852.1</v>
      </c>
    </row>
    <row r="47" ht="14.25" hidden="1" customHeight="1">
      <c r="A47" s="159">
        <v>43.0</v>
      </c>
      <c r="B47" s="160">
        <v>46841.0</v>
      </c>
      <c r="C47" s="161"/>
      <c r="D47" s="162">
        <f t="shared" si="1"/>
        <v>18.5</v>
      </c>
      <c r="E47" s="162">
        <f t="shared" si="2"/>
        <v>308.9</v>
      </c>
      <c r="F47" s="163">
        <f t="shared" si="3"/>
        <v>327.4</v>
      </c>
      <c r="G47" s="162">
        <f t="shared" si="4"/>
        <v>1543.2</v>
      </c>
    </row>
    <row r="48" ht="14.25" hidden="1" customHeight="1">
      <c r="A48" s="159">
        <v>44.0</v>
      </c>
      <c r="B48" s="160">
        <v>46872.0</v>
      </c>
      <c r="C48" s="161"/>
      <c r="D48" s="162">
        <f t="shared" si="1"/>
        <v>15.4</v>
      </c>
      <c r="E48" s="162">
        <f t="shared" si="2"/>
        <v>308.9</v>
      </c>
      <c r="F48" s="163">
        <f t="shared" si="3"/>
        <v>324.3</v>
      </c>
      <c r="G48" s="162">
        <f t="shared" si="4"/>
        <v>1234.3</v>
      </c>
    </row>
    <row r="49" ht="14.25" hidden="1" customHeight="1">
      <c r="A49" s="159">
        <v>45.0</v>
      </c>
      <c r="B49" s="160">
        <v>46902.0</v>
      </c>
      <c r="C49" s="161"/>
      <c r="D49" s="162">
        <f t="shared" si="1"/>
        <v>12.3</v>
      </c>
      <c r="E49" s="162">
        <f t="shared" si="2"/>
        <v>308.9</v>
      </c>
      <c r="F49" s="163">
        <f t="shared" si="3"/>
        <v>321.2</v>
      </c>
      <c r="G49" s="162">
        <f t="shared" si="4"/>
        <v>925.4</v>
      </c>
    </row>
    <row r="50" ht="14.25" hidden="1" customHeight="1">
      <c r="A50" s="159">
        <v>46.0</v>
      </c>
      <c r="B50" s="160">
        <v>46933.0</v>
      </c>
      <c r="C50" s="161"/>
      <c r="D50" s="162">
        <f t="shared" si="1"/>
        <v>9.3</v>
      </c>
      <c r="E50" s="162">
        <f t="shared" si="2"/>
        <v>308.9</v>
      </c>
      <c r="F50" s="163">
        <f t="shared" si="3"/>
        <v>318.2</v>
      </c>
      <c r="G50" s="162">
        <f t="shared" si="4"/>
        <v>616.5</v>
      </c>
    </row>
    <row r="51" ht="14.25" hidden="1" customHeight="1">
      <c r="A51" s="159">
        <v>47.0</v>
      </c>
      <c r="B51" s="160">
        <v>46963.0</v>
      </c>
      <c r="C51" s="161"/>
      <c r="D51" s="162">
        <f t="shared" si="1"/>
        <v>6.2</v>
      </c>
      <c r="E51" s="162">
        <f t="shared" si="2"/>
        <v>308.9</v>
      </c>
      <c r="F51" s="163">
        <f t="shared" si="3"/>
        <v>315.1</v>
      </c>
      <c r="G51" s="162">
        <f t="shared" si="4"/>
        <v>307.6</v>
      </c>
    </row>
    <row r="52" ht="14.25" hidden="1" customHeight="1">
      <c r="A52" s="159">
        <v>48.0</v>
      </c>
      <c r="B52" s="160">
        <v>46994.0</v>
      </c>
      <c r="C52" s="161"/>
      <c r="D52" s="162">
        <f t="shared" si="1"/>
        <v>3.1</v>
      </c>
      <c r="E52" s="162">
        <f>ROUNDUP($C$4/48,1)-1.3</f>
        <v>307.6</v>
      </c>
      <c r="F52" s="163">
        <f t="shared" si="3"/>
        <v>310.7</v>
      </c>
      <c r="G52" s="162">
        <f t="shared" si="4"/>
        <v>0</v>
      </c>
    </row>
    <row r="53" ht="14.25" customHeight="1">
      <c r="A53" s="129" t="s">
        <v>252</v>
      </c>
      <c r="B53" s="2"/>
      <c r="C53" s="3"/>
      <c r="D53" s="147">
        <f t="shared" ref="D53:F53" si="5">+SUM(D5:D52)</f>
        <v>3632.1</v>
      </c>
      <c r="E53" s="147">
        <f t="shared" si="5"/>
        <v>14825.9</v>
      </c>
      <c r="F53" s="147">
        <f t="shared" si="5"/>
        <v>18458</v>
      </c>
      <c r="G53" s="148"/>
    </row>
    <row r="54" ht="14.25" customHeight="1"/>
    <row r="55" ht="14.25" customHeight="1">
      <c r="A55" s="128" t="s">
        <v>347</v>
      </c>
      <c r="B55" s="2"/>
      <c r="C55" s="2"/>
      <c r="D55" s="2"/>
      <c r="E55" s="2"/>
      <c r="F55" s="2"/>
      <c r="G55" s="3"/>
    </row>
    <row r="56" ht="14.25" customHeight="1">
      <c r="A56" s="150" t="s">
        <v>349</v>
      </c>
      <c r="B56" s="2"/>
      <c r="C56" s="2"/>
      <c r="D56" s="2"/>
      <c r="E56" s="2"/>
      <c r="F56" s="2"/>
      <c r="G56" s="3"/>
    </row>
    <row r="57" ht="14.25" customHeight="1">
      <c r="A57" s="130" t="s">
        <v>326</v>
      </c>
      <c r="B57" s="130" t="s">
        <v>256</v>
      </c>
      <c r="C57" s="130" t="s">
        <v>327</v>
      </c>
      <c r="D57" s="130" t="s">
        <v>328</v>
      </c>
      <c r="E57" s="130" t="s">
        <v>329</v>
      </c>
      <c r="F57" s="130" t="s">
        <v>330</v>
      </c>
      <c r="G57" s="130" t="s">
        <v>209</v>
      </c>
    </row>
    <row r="58" ht="14.25" customHeight="1">
      <c r="A58" s="131">
        <v>0.0</v>
      </c>
      <c r="B58" s="164">
        <v>45959.0</v>
      </c>
      <c r="C58" s="133">
        <f>+J61</f>
        <v>20501.3</v>
      </c>
      <c r="D58" s="134">
        <v>0.01</v>
      </c>
      <c r="E58" s="135"/>
      <c r="F58" s="135"/>
      <c r="G58" s="135">
        <f>+C58</f>
        <v>20501.3</v>
      </c>
    </row>
    <row r="59" ht="14.25" customHeight="1">
      <c r="A59" s="136">
        <v>1.0</v>
      </c>
      <c r="B59" s="137">
        <v>45990.0</v>
      </c>
      <c r="C59" s="145"/>
      <c r="D59" s="138">
        <f t="shared" ref="D59:D94" si="6">+ROUND(G58*0.01,1)</f>
        <v>205</v>
      </c>
      <c r="E59" s="138">
        <f t="shared" ref="E59:E93" si="7">ROUNDUP($C$58/36,1)</f>
        <v>569.5</v>
      </c>
      <c r="F59" s="139">
        <f t="shared" ref="F59:F94" si="8">+ROUND(D59+E59,1)</f>
        <v>774.5</v>
      </c>
      <c r="G59" s="138">
        <f t="shared" ref="G59:G94" si="9">+ROUND(G58-E59,1)</f>
        <v>19931.8</v>
      </c>
      <c r="I59" s="140" t="s">
        <v>209</v>
      </c>
      <c r="J59" s="141">
        <f>G18</f>
        <v>10501.3</v>
      </c>
    </row>
    <row r="60" ht="14.25" customHeight="1">
      <c r="A60" s="136">
        <v>2.0</v>
      </c>
      <c r="B60" s="137">
        <v>46020.0</v>
      </c>
      <c r="C60" s="145"/>
      <c r="D60" s="138">
        <f t="shared" si="6"/>
        <v>199.3</v>
      </c>
      <c r="E60" s="138">
        <f t="shared" si="7"/>
        <v>569.5</v>
      </c>
      <c r="F60" s="139">
        <f t="shared" si="8"/>
        <v>768.8</v>
      </c>
      <c r="G60" s="138">
        <f t="shared" si="9"/>
        <v>19362.3</v>
      </c>
      <c r="I60" s="140" t="s">
        <v>331</v>
      </c>
      <c r="J60" s="151">
        <v>10000.0</v>
      </c>
    </row>
    <row r="61" ht="14.25" customHeight="1">
      <c r="A61" s="131">
        <v>3.0</v>
      </c>
      <c r="B61" s="132">
        <v>46051.0</v>
      </c>
      <c r="C61" s="146"/>
      <c r="D61" s="135">
        <f t="shared" si="6"/>
        <v>193.6</v>
      </c>
      <c r="E61" s="135">
        <f t="shared" si="7"/>
        <v>569.5</v>
      </c>
      <c r="F61" s="133">
        <f t="shared" si="8"/>
        <v>763.1</v>
      </c>
      <c r="G61" s="135">
        <f t="shared" si="9"/>
        <v>18792.8</v>
      </c>
      <c r="I61" s="142" t="s">
        <v>252</v>
      </c>
      <c r="J61" s="143">
        <f>+SUM(J59:J60)</f>
        <v>20501.3</v>
      </c>
    </row>
    <row r="62" ht="14.25" customHeight="1">
      <c r="A62" s="131">
        <v>4.0</v>
      </c>
      <c r="B62" s="132">
        <v>46081.0</v>
      </c>
      <c r="C62" s="146"/>
      <c r="D62" s="135">
        <f t="shared" si="6"/>
        <v>187.9</v>
      </c>
      <c r="E62" s="135">
        <f t="shared" si="7"/>
        <v>569.5</v>
      </c>
      <c r="F62" s="133">
        <f t="shared" si="8"/>
        <v>757.4</v>
      </c>
      <c r="G62" s="135">
        <f t="shared" si="9"/>
        <v>18223.3</v>
      </c>
    </row>
    <row r="63" ht="14.25" customHeight="1">
      <c r="A63" s="131">
        <v>5.0</v>
      </c>
      <c r="B63" s="132">
        <v>46110.0</v>
      </c>
      <c r="C63" s="146"/>
      <c r="D63" s="135">
        <f t="shared" si="6"/>
        <v>182.2</v>
      </c>
      <c r="E63" s="135">
        <f t="shared" si="7"/>
        <v>569.5</v>
      </c>
      <c r="F63" s="133">
        <f t="shared" si="8"/>
        <v>751.7</v>
      </c>
      <c r="G63" s="135">
        <f t="shared" si="9"/>
        <v>17653.8</v>
      </c>
    </row>
    <row r="64" ht="14.25" customHeight="1">
      <c r="A64" s="131">
        <v>6.0</v>
      </c>
      <c r="B64" s="132">
        <v>46141.0</v>
      </c>
      <c r="C64" s="146"/>
      <c r="D64" s="135">
        <f t="shared" si="6"/>
        <v>176.5</v>
      </c>
      <c r="E64" s="135">
        <f t="shared" si="7"/>
        <v>569.5</v>
      </c>
      <c r="F64" s="133">
        <f t="shared" si="8"/>
        <v>746</v>
      </c>
      <c r="G64" s="135">
        <f t="shared" si="9"/>
        <v>17084.3</v>
      </c>
    </row>
    <row r="65" ht="14.25" customHeight="1">
      <c r="A65" s="131">
        <v>7.0</v>
      </c>
      <c r="B65" s="132">
        <v>46171.0</v>
      </c>
      <c r="C65" s="146"/>
      <c r="D65" s="135">
        <f t="shared" si="6"/>
        <v>170.8</v>
      </c>
      <c r="E65" s="135">
        <f t="shared" si="7"/>
        <v>569.5</v>
      </c>
      <c r="F65" s="133">
        <f t="shared" si="8"/>
        <v>740.3</v>
      </c>
      <c r="G65" s="135">
        <f t="shared" si="9"/>
        <v>16514.8</v>
      </c>
    </row>
    <row r="66" ht="14.25" customHeight="1">
      <c r="A66" s="131">
        <v>8.0</v>
      </c>
      <c r="B66" s="132">
        <v>46202.0</v>
      </c>
      <c r="C66" s="146"/>
      <c r="D66" s="135">
        <f t="shared" si="6"/>
        <v>165.1</v>
      </c>
      <c r="E66" s="135">
        <f t="shared" si="7"/>
        <v>569.5</v>
      </c>
      <c r="F66" s="133">
        <f t="shared" si="8"/>
        <v>734.6</v>
      </c>
      <c r="G66" s="135">
        <f t="shared" si="9"/>
        <v>15945.3</v>
      </c>
    </row>
    <row r="67" ht="14.25" customHeight="1">
      <c r="A67" s="131">
        <v>9.0</v>
      </c>
      <c r="B67" s="132">
        <v>46232.0</v>
      </c>
      <c r="C67" s="146"/>
      <c r="D67" s="135">
        <f t="shared" si="6"/>
        <v>159.5</v>
      </c>
      <c r="E67" s="135">
        <f t="shared" si="7"/>
        <v>569.5</v>
      </c>
      <c r="F67" s="133">
        <f t="shared" si="8"/>
        <v>729</v>
      </c>
      <c r="G67" s="135">
        <f t="shared" si="9"/>
        <v>15375.8</v>
      </c>
    </row>
    <row r="68" ht="14.25" customHeight="1">
      <c r="A68" s="131">
        <v>10.0</v>
      </c>
      <c r="B68" s="132">
        <v>46263.0</v>
      </c>
      <c r="C68" s="146"/>
      <c r="D68" s="135">
        <f t="shared" si="6"/>
        <v>153.8</v>
      </c>
      <c r="E68" s="135">
        <f t="shared" si="7"/>
        <v>569.5</v>
      </c>
      <c r="F68" s="133">
        <f t="shared" si="8"/>
        <v>723.3</v>
      </c>
      <c r="G68" s="135">
        <f t="shared" si="9"/>
        <v>14806.3</v>
      </c>
    </row>
    <row r="69" ht="14.25" customHeight="1">
      <c r="A69" s="131">
        <v>11.0</v>
      </c>
      <c r="B69" s="132">
        <v>46294.0</v>
      </c>
      <c r="C69" s="146"/>
      <c r="D69" s="135">
        <f t="shared" si="6"/>
        <v>148.1</v>
      </c>
      <c r="E69" s="135">
        <f t="shared" si="7"/>
        <v>569.5</v>
      </c>
      <c r="F69" s="133">
        <f t="shared" si="8"/>
        <v>717.6</v>
      </c>
      <c r="G69" s="135">
        <f t="shared" si="9"/>
        <v>14236.8</v>
      </c>
    </row>
    <row r="70" ht="14.25" customHeight="1">
      <c r="A70" s="131">
        <v>12.0</v>
      </c>
      <c r="B70" s="132">
        <v>46324.0</v>
      </c>
      <c r="C70" s="146"/>
      <c r="D70" s="135">
        <f t="shared" si="6"/>
        <v>142.4</v>
      </c>
      <c r="E70" s="135">
        <f t="shared" si="7"/>
        <v>569.5</v>
      </c>
      <c r="F70" s="133">
        <f t="shared" si="8"/>
        <v>711.9</v>
      </c>
      <c r="G70" s="135">
        <f t="shared" si="9"/>
        <v>13667.3</v>
      </c>
    </row>
    <row r="71" ht="14.25" customHeight="1">
      <c r="A71" s="131">
        <v>13.0</v>
      </c>
      <c r="B71" s="132">
        <v>46355.0</v>
      </c>
      <c r="C71" s="146"/>
      <c r="D71" s="135">
        <f t="shared" si="6"/>
        <v>136.7</v>
      </c>
      <c r="E71" s="135">
        <f t="shared" si="7"/>
        <v>569.5</v>
      </c>
      <c r="F71" s="133">
        <f t="shared" si="8"/>
        <v>706.2</v>
      </c>
      <c r="G71" s="135">
        <f t="shared" si="9"/>
        <v>13097.8</v>
      </c>
    </row>
    <row r="72" ht="14.25" customHeight="1">
      <c r="A72" s="131">
        <v>14.0</v>
      </c>
      <c r="B72" s="132">
        <v>46385.0</v>
      </c>
      <c r="C72" s="146"/>
      <c r="D72" s="135">
        <f t="shared" si="6"/>
        <v>131</v>
      </c>
      <c r="E72" s="135">
        <f t="shared" si="7"/>
        <v>569.5</v>
      </c>
      <c r="F72" s="133">
        <f t="shared" si="8"/>
        <v>700.5</v>
      </c>
      <c r="G72" s="135">
        <f t="shared" si="9"/>
        <v>12528.3</v>
      </c>
    </row>
    <row r="73" ht="14.25" customHeight="1">
      <c r="A73" s="131">
        <v>15.0</v>
      </c>
      <c r="B73" s="132">
        <v>46416.0</v>
      </c>
      <c r="C73" s="146"/>
      <c r="D73" s="135">
        <f t="shared" si="6"/>
        <v>125.3</v>
      </c>
      <c r="E73" s="135">
        <f t="shared" si="7"/>
        <v>569.5</v>
      </c>
      <c r="F73" s="133">
        <f t="shared" si="8"/>
        <v>694.8</v>
      </c>
      <c r="G73" s="135">
        <f t="shared" si="9"/>
        <v>11958.8</v>
      </c>
    </row>
    <row r="74" ht="14.25" customHeight="1">
      <c r="A74" s="131">
        <v>16.0</v>
      </c>
      <c r="B74" s="132">
        <v>46446.0</v>
      </c>
      <c r="C74" s="146"/>
      <c r="D74" s="135">
        <f t="shared" si="6"/>
        <v>119.6</v>
      </c>
      <c r="E74" s="135">
        <f t="shared" si="7"/>
        <v>569.5</v>
      </c>
      <c r="F74" s="133">
        <f t="shared" si="8"/>
        <v>689.1</v>
      </c>
      <c r="G74" s="135">
        <f t="shared" si="9"/>
        <v>11389.3</v>
      </c>
    </row>
    <row r="75" ht="14.25" customHeight="1">
      <c r="A75" s="131">
        <v>17.0</v>
      </c>
      <c r="B75" s="132">
        <v>46475.0</v>
      </c>
      <c r="C75" s="146"/>
      <c r="D75" s="135">
        <f t="shared" si="6"/>
        <v>113.9</v>
      </c>
      <c r="E75" s="135">
        <f t="shared" si="7"/>
        <v>569.5</v>
      </c>
      <c r="F75" s="133">
        <f t="shared" si="8"/>
        <v>683.4</v>
      </c>
      <c r="G75" s="135">
        <f t="shared" si="9"/>
        <v>10819.8</v>
      </c>
    </row>
    <row r="76" ht="14.25" customHeight="1">
      <c r="A76" s="131">
        <v>18.0</v>
      </c>
      <c r="B76" s="132">
        <v>46506.0</v>
      </c>
      <c r="C76" s="146"/>
      <c r="D76" s="135">
        <f t="shared" si="6"/>
        <v>108.2</v>
      </c>
      <c r="E76" s="135">
        <f t="shared" si="7"/>
        <v>569.5</v>
      </c>
      <c r="F76" s="133">
        <f t="shared" si="8"/>
        <v>677.7</v>
      </c>
      <c r="G76" s="135">
        <f t="shared" si="9"/>
        <v>10250.3</v>
      </c>
    </row>
    <row r="77" ht="14.25" customHeight="1">
      <c r="A77" s="131">
        <v>19.0</v>
      </c>
      <c r="B77" s="132">
        <v>46536.0</v>
      </c>
      <c r="C77" s="146"/>
      <c r="D77" s="135">
        <f t="shared" si="6"/>
        <v>102.5</v>
      </c>
      <c r="E77" s="135">
        <f t="shared" si="7"/>
        <v>569.5</v>
      </c>
      <c r="F77" s="133">
        <f t="shared" si="8"/>
        <v>672</v>
      </c>
      <c r="G77" s="135">
        <f t="shared" si="9"/>
        <v>9680.8</v>
      </c>
    </row>
    <row r="78" ht="14.25" customHeight="1">
      <c r="A78" s="131">
        <v>20.0</v>
      </c>
      <c r="B78" s="132">
        <v>46567.0</v>
      </c>
      <c r="C78" s="146"/>
      <c r="D78" s="135">
        <f t="shared" si="6"/>
        <v>96.8</v>
      </c>
      <c r="E78" s="135">
        <f t="shared" si="7"/>
        <v>569.5</v>
      </c>
      <c r="F78" s="133">
        <f t="shared" si="8"/>
        <v>666.3</v>
      </c>
      <c r="G78" s="135">
        <f t="shared" si="9"/>
        <v>9111.3</v>
      </c>
    </row>
    <row r="79" ht="14.25" customHeight="1">
      <c r="A79" s="131">
        <v>21.0</v>
      </c>
      <c r="B79" s="132">
        <v>46597.0</v>
      </c>
      <c r="C79" s="146"/>
      <c r="D79" s="135">
        <f t="shared" si="6"/>
        <v>91.1</v>
      </c>
      <c r="E79" s="135">
        <f t="shared" si="7"/>
        <v>569.5</v>
      </c>
      <c r="F79" s="133">
        <f t="shared" si="8"/>
        <v>660.6</v>
      </c>
      <c r="G79" s="135">
        <f t="shared" si="9"/>
        <v>8541.8</v>
      </c>
    </row>
    <row r="80" ht="14.25" customHeight="1">
      <c r="A80" s="131">
        <v>22.0</v>
      </c>
      <c r="B80" s="132">
        <v>46628.0</v>
      </c>
      <c r="C80" s="146"/>
      <c r="D80" s="135">
        <f t="shared" si="6"/>
        <v>85.4</v>
      </c>
      <c r="E80" s="135">
        <f t="shared" si="7"/>
        <v>569.5</v>
      </c>
      <c r="F80" s="133">
        <f t="shared" si="8"/>
        <v>654.9</v>
      </c>
      <c r="G80" s="135">
        <f t="shared" si="9"/>
        <v>7972.3</v>
      </c>
    </row>
    <row r="81" ht="14.25" customHeight="1">
      <c r="A81" s="131">
        <v>23.0</v>
      </c>
      <c r="B81" s="132">
        <v>46659.0</v>
      </c>
      <c r="C81" s="146"/>
      <c r="D81" s="135">
        <f t="shared" si="6"/>
        <v>79.7</v>
      </c>
      <c r="E81" s="135">
        <f t="shared" si="7"/>
        <v>569.5</v>
      </c>
      <c r="F81" s="133">
        <f t="shared" si="8"/>
        <v>649.2</v>
      </c>
      <c r="G81" s="135">
        <f t="shared" si="9"/>
        <v>7402.8</v>
      </c>
    </row>
    <row r="82" ht="14.25" customHeight="1">
      <c r="A82" s="131">
        <v>24.0</v>
      </c>
      <c r="B82" s="132">
        <v>46689.0</v>
      </c>
      <c r="C82" s="146"/>
      <c r="D82" s="135">
        <f t="shared" si="6"/>
        <v>74</v>
      </c>
      <c r="E82" s="135">
        <f t="shared" si="7"/>
        <v>569.5</v>
      </c>
      <c r="F82" s="133">
        <f t="shared" si="8"/>
        <v>643.5</v>
      </c>
      <c r="G82" s="135">
        <f t="shared" si="9"/>
        <v>6833.3</v>
      </c>
    </row>
    <row r="83" ht="14.25" customHeight="1">
      <c r="A83" s="131">
        <v>25.0</v>
      </c>
      <c r="B83" s="132">
        <v>46720.0</v>
      </c>
      <c r="C83" s="146"/>
      <c r="D83" s="135">
        <f t="shared" si="6"/>
        <v>68.3</v>
      </c>
      <c r="E83" s="135">
        <f t="shared" si="7"/>
        <v>569.5</v>
      </c>
      <c r="F83" s="133">
        <f t="shared" si="8"/>
        <v>637.8</v>
      </c>
      <c r="G83" s="135">
        <f t="shared" si="9"/>
        <v>6263.8</v>
      </c>
    </row>
    <row r="84" ht="14.25" customHeight="1">
      <c r="A84" s="131">
        <v>26.0</v>
      </c>
      <c r="B84" s="132">
        <v>46750.0</v>
      </c>
      <c r="C84" s="146"/>
      <c r="D84" s="135">
        <f t="shared" si="6"/>
        <v>62.6</v>
      </c>
      <c r="E84" s="135">
        <f t="shared" si="7"/>
        <v>569.5</v>
      </c>
      <c r="F84" s="133">
        <f t="shared" si="8"/>
        <v>632.1</v>
      </c>
      <c r="G84" s="135">
        <f t="shared" si="9"/>
        <v>5694.3</v>
      </c>
    </row>
    <row r="85" ht="14.25" customHeight="1">
      <c r="A85" s="131">
        <v>27.0</v>
      </c>
      <c r="B85" s="132">
        <v>46781.0</v>
      </c>
      <c r="C85" s="146"/>
      <c r="D85" s="135">
        <f t="shared" si="6"/>
        <v>56.9</v>
      </c>
      <c r="E85" s="135">
        <f t="shared" si="7"/>
        <v>569.5</v>
      </c>
      <c r="F85" s="133">
        <f t="shared" si="8"/>
        <v>626.4</v>
      </c>
      <c r="G85" s="135">
        <f t="shared" si="9"/>
        <v>5124.8</v>
      </c>
    </row>
    <row r="86" ht="14.25" customHeight="1">
      <c r="A86" s="131">
        <v>28.0</v>
      </c>
      <c r="B86" s="132">
        <v>46812.0</v>
      </c>
      <c r="C86" s="146"/>
      <c r="D86" s="135">
        <f t="shared" si="6"/>
        <v>51.2</v>
      </c>
      <c r="E86" s="135">
        <f t="shared" si="7"/>
        <v>569.5</v>
      </c>
      <c r="F86" s="133">
        <f t="shared" si="8"/>
        <v>620.7</v>
      </c>
      <c r="G86" s="135">
        <f t="shared" si="9"/>
        <v>4555.3</v>
      </c>
    </row>
    <row r="87" ht="14.25" customHeight="1">
      <c r="A87" s="131">
        <v>29.0</v>
      </c>
      <c r="B87" s="132">
        <v>46841.0</v>
      </c>
      <c r="C87" s="146"/>
      <c r="D87" s="135">
        <f t="shared" si="6"/>
        <v>45.6</v>
      </c>
      <c r="E87" s="135">
        <f t="shared" si="7"/>
        <v>569.5</v>
      </c>
      <c r="F87" s="133">
        <f t="shared" si="8"/>
        <v>615.1</v>
      </c>
      <c r="G87" s="135">
        <f t="shared" si="9"/>
        <v>3985.8</v>
      </c>
    </row>
    <row r="88" ht="14.25" customHeight="1">
      <c r="A88" s="131">
        <v>30.0</v>
      </c>
      <c r="B88" s="132">
        <v>46872.0</v>
      </c>
      <c r="C88" s="146"/>
      <c r="D88" s="135">
        <f t="shared" si="6"/>
        <v>39.9</v>
      </c>
      <c r="E88" s="135">
        <f t="shared" si="7"/>
        <v>569.5</v>
      </c>
      <c r="F88" s="133">
        <f t="shared" si="8"/>
        <v>609.4</v>
      </c>
      <c r="G88" s="135">
        <f t="shared" si="9"/>
        <v>3416.3</v>
      </c>
    </row>
    <row r="89" ht="14.25" customHeight="1">
      <c r="A89" s="131">
        <v>31.0</v>
      </c>
      <c r="B89" s="132">
        <v>46902.0</v>
      </c>
      <c r="C89" s="146"/>
      <c r="D89" s="135">
        <f t="shared" si="6"/>
        <v>34.2</v>
      </c>
      <c r="E89" s="135">
        <f t="shared" si="7"/>
        <v>569.5</v>
      </c>
      <c r="F89" s="133">
        <f t="shared" si="8"/>
        <v>603.7</v>
      </c>
      <c r="G89" s="135">
        <f t="shared" si="9"/>
        <v>2846.8</v>
      </c>
    </row>
    <row r="90" ht="14.25" customHeight="1">
      <c r="A90" s="131">
        <v>32.0</v>
      </c>
      <c r="B90" s="132">
        <v>46933.0</v>
      </c>
      <c r="C90" s="146"/>
      <c r="D90" s="135">
        <f t="shared" si="6"/>
        <v>28.5</v>
      </c>
      <c r="E90" s="135">
        <f t="shared" si="7"/>
        <v>569.5</v>
      </c>
      <c r="F90" s="133">
        <f t="shared" si="8"/>
        <v>598</v>
      </c>
      <c r="G90" s="135">
        <f t="shared" si="9"/>
        <v>2277.3</v>
      </c>
    </row>
    <row r="91" ht="14.25" customHeight="1">
      <c r="A91" s="131">
        <v>33.0</v>
      </c>
      <c r="B91" s="132">
        <v>46963.0</v>
      </c>
      <c r="C91" s="146"/>
      <c r="D91" s="135">
        <f t="shared" si="6"/>
        <v>22.8</v>
      </c>
      <c r="E91" s="135">
        <f t="shared" si="7"/>
        <v>569.5</v>
      </c>
      <c r="F91" s="133">
        <f t="shared" si="8"/>
        <v>592.3</v>
      </c>
      <c r="G91" s="135">
        <f t="shared" si="9"/>
        <v>1707.8</v>
      </c>
    </row>
    <row r="92" ht="14.25" customHeight="1">
      <c r="A92" s="131">
        <v>34.0</v>
      </c>
      <c r="B92" s="132">
        <v>46994.0</v>
      </c>
      <c r="C92" s="146"/>
      <c r="D92" s="135">
        <f t="shared" si="6"/>
        <v>17.1</v>
      </c>
      <c r="E92" s="135">
        <f t="shared" si="7"/>
        <v>569.5</v>
      </c>
      <c r="F92" s="133">
        <f t="shared" si="8"/>
        <v>586.6</v>
      </c>
      <c r="G92" s="135">
        <f t="shared" si="9"/>
        <v>1138.3</v>
      </c>
    </row>
    <row r="93" ht="14.25" customHeight="1">
      <c r="A93" s="131">
        <v>35.0</v>
      </c>
      <c r="B93" s="132">
        <v>47025.0</v>
      </c>
      <c r="C93" s="146"/>
      <c r="D93" s="135">
        <f t="shared" si="6"/>
        <v>11.4</v>
      </c>
      <c r="E93" s="135">
        <f t="shared" si="7"/>
        <v>569.5</v>
      </c>
      <c r="F93" s="133">
        <f t="shared" si="8"/>
        <v>580.9</v>
      </c>
      <c r="G93" s="135">
        <f t="shared" si="9"/>
        <v>568.8</v>
      </c>
    </row>
    <row r="94" ht="14.25" customHeight="1">
      <c r="A94" s="131">
        <v>36.0</v>
      </c>
      <c r="B94" s="132">
        <v>47055.0</v>
      </c>
      <c r="C94" s="146"/>
      <c r="D94" s="135">
        <f t="shared" si="6"/>
        <v>5.7</v>
      </c>
      <c r="E94" s="135">
        <f>ROUNDUP($C$58/36,1)-0.7</f>
        <v>568.8</v>
      </c>
      <c r="F94" s="133">
        <f t="shared" si="8"/>
        <v>574.5</v>
      </c>
      <c r="G94" s="135">
        <f t="shared" si="9"/>
        <v>0</v>
      </c>
    </row>
    <row r="95" ht="14.25" customHeight="1">
      <c r="A95" s="129" t="s">
        <v>252</v>
      </c>
      <c r="B95" s="2"/>
      <c r="C95" s="3"/>
      <c r="D95" s="147">
        <f t="shared" ref="D95:F95" si="10">+SUM(D59:D94)</f>
        <v>3792.6</v>
      </c>
      <c r="E95" s="147">
        <f t="shared" si="10"/>
        <v>20501.3</v>
      </c>
      <c r="F95" s="147">
        <f t="shared" si="10"/>
        <v>24293.9</v>
      </c>
      <c r="G95" s="148"/>
    </row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</sheetData>
  <mergeCells count="6">
    <mergeCell ref="A1:G1"/>
    <mergeCell ref="A2:G2"/>
    <mergeCell ref="A53:C53"/>
    <mergeCell ref="A55:G55"/>
    <mergeCell ref="A56:G56"/>
    <mergeCell ref="A95:C9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350</v>
      </c>
      <c r="B1" s="2"/>
      <c r="C1" s="2"/>
      <c r="D1" s="2"/>
      <c r="E1" s="2"/>
      <c r="F1" s="2"/>
      <c r="G1" s="3"/>
    </row>
    <row r="2" ht="14.25" customHeight="1">
      <c r="A2" s="129" t="s">
        <v>351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45929.0</v>
      </c>
      <c r="C4" s="133">
        <f>+J7</f>
        <v>52744.1</v>
      </c>
      <c r="D4" s="134">
        <v>0.01</v>
      </c>
      <c r="E4" s="135"/>
      <c r="F4" s="135"/>
      <c r="G4" s="135">
        <f>+C4</f>
        <v>52744.1</v>
      </c>
    </row>
    <row r="5" ht="14.25" customHeight="1">
      <c r="A5" s="136">
        <v>1.0</v>
      </c>
      <c r="B5" s="137">
        <v>45959.0</v>
      </c>
      <c r="C5" s="145"/>
      <c r="D5" s="138">
        <f t="shared" ref="D5:D88" si="1">+ROUND(G4*0.01,1)</f>
        <v>527.4</v>
      </c>
      <c r="E5" s="138">
        <f>ROUNDDOWN(C4/84,1)</f>
        <v>627.9</v>
      </c>
      <c r="F5" s="139">
        <f t="shared" ref="F5:F88" si="2">+ROUND(D5+E5,1)</f>
        <v>1155.3</v>
      </c>
      <c r="G5" s="138">
        <f t="shared" ref="G5:G88" si="3">+ROUND(G4-E5,1)</f>
        <v>52116.2</v>
      </c>
      <c r="I5" s="140" t="s">
        <v>209</v>
      </c>
      <c r="J5" s="141">
        <v>42953.0</v>
      </c>
    </row>
    <row r="6" ht="14.25" customHeight="1">
      <c r="A6" s="136">
        <v>2.0</v>
      </c>
      <c r="B6" s="137">
        <v>45990.0</v>
      </c>
      <c r="C6" s="145"/>
      <c r="D6" s="138">
        <f t="shared" si="1"/>
        <v>521.2</v>
      </c>
      <c r="E6" s="138">
        <f t="shared" ref="E6:E87" si="4">ROUNDDOWN($C$4/84,1)</f>
        <v>627.9</v>
      </c>
      <c r="F6" s="139">
        <f t="shared" si="2"/>
        <v>1149.1</v>
      </c>
      <c r="G6" s="138">
        <f t="shared" si="3"/>
        <v>51488.3</v>
      </c>
      <c r="I6" s="140" t="s">
        <v>331</v>
      </c>
      <c r="J6" s="141">
        <v>9791.100000000006</v>
      </c>
    </row>
    <row r="7" ht="14.25" customHeight="1">
      <c r="A7" s="136">
        <v>3.0</v>
      </c>
      <c r="B7" s="137">
        <v>46020.0</v>
      </c>
      <c r="C7" s="145"/>
      <c r="D7" s="138">
        <f t="shared" si="1"/>
        <v>514.9</v>
      </c>
      <c r="E7" s="138">
        <f t="shared" si="4"/>
        <v>627.9</v>
      </c>
      <c r="F7" s="139">
        <f t="shared" si="2"/>
        <v>1142.8</v>
      </c>
      <c r="G7" s="138">
        <f t="shared" si="3"/>
        <v>50860.4</v>
      </c>
      <c r="I7" s="142" t="s">
        <v>252</v>
      </c>
      <c r="J7" s="143">
        <f>+SUM(J5:J6)</f>
        <v>52744.1</v>
      </c>
    </row>
    <row r="8" ht="14.25" customHeight="1">
      <c r="A8" s="131">
        <v>4.0</v>
      </c>
      <c r="B8" s="132">
        <v>46051.0</v>
      </c>
      <c r="C8" s="146"/>
      <c r="D8" s="135">
        <f t="shared" si="1"/>
        <v>508.6</v>
      </c>
      <c r="E8" s="135">
        <f t="shared" si="4"/>
        <v>627.9</v>
      </c>
      <c r="F8" s="133">
        <f t="shared" si="2"/>
        <v>1136.5</v>
      </c>
      <c r="G8" s="135">
        <f t="shared" si="3"/>
        <v>50232.5</v>
      </c>
    </row>
    <row r="9" ht="14.25" customHeight="1">
      <c r="A9" s="131">
        <v>5.0</v>
      </c>
      <c r="B9" s="132">
        <v>46081.0</v>
      </c>
      <c r="C9" s="146"/>
      <c r="D9" s="135">
        <f t="shared" si="1"/>
        <v>502.3</v>
      </c>
      <c r="E9" s="135">
        <f t="shared" si="4"/>
        <v>627.9</v>
      </c>
      <c r="F9" s="133">
        <f t="shared" si="2"/>
        <v>1130.2</v>
      </c>
      <c r="G9" s="135">
        <f t="shared" si="3"/>
        <v>49604.6</v>
      </c>
    </row>
    <row r="10" ht="14.25" customHeight="1">
      <c r="A10" s="131">
        <v>6.0</v>
      </c>
      <c r="B10" s="132">
        <v>46110.0</v>
      </c>
      <c r="C10" s="146"/>
      <c r="D10" s="135">
        <f t="shared" si="1"/>
        <v>496</v>
      </c>
      <c r="E10" s="135">
        <f t="shared" si="4"/>
        <v>627.9</v>
      </c>
      <c r="F10" s="133">
        <f t="shared" si="2"/>
        <v>1123.9</v>
      </c>
      <c r="G10" s="135">
        <f t="shared" si="3"/>
        <v>48976.7</v>
      </c>
    </row>
    <row r="11" ht="14.25" customHeight="1">
      <c r="A11" s="131">
        <v>7.0</v>
      </c>
      <c r="B11" s="132">
        <v>46141.0</v>
      </c>
      <c r="C11" s="146"/>
      <c r="D11" s="135">
        <f t="shared" si="1"/>
        <v>489.8</v>
      </c>
      <c r="E11" s="135">
        <f t="shared" si="4"/>
        <v>627.9</v>
      </c>
      <c r="F11" s="133">
        <f t="shared" si="2"/>
        <v>1117.7</v>
      </c>
      <c r="G11" s="135">
        <f t="shared" si="3"/>
        <v>48348.8</v>
      </c>
    </row>
    <row r="12" ht="14.25" customHeight="1">
      <c r="A12" s="131">
        <v>8.0</v>
      </c>
      <c r="B12" s="132">
        <v>46171.0</v>
      </c>
      <c r="C12" s="146"/>
      <c r="D12" s="135">
        <f t="shared" si="1"/>
        <v>483.5</v>
      </c>
      <c r="E12" s="135">
        <f t="shared" si="4"/>
        <v>627.9</v>
      </c>
      <c r="F12" s="133">
        <f t="shared" si="2"/>
        <v>1111.4</v>
      </c>
      <c r="G12" s="135">
        <f t="shared" si="3"/>
        <v>47720.9</v>
      </c>
    </row>
    <row r="13" ht="14.25" customHeight="1">
      <c r="A13" s="131">
        <v>9.0</v>
      </c>
      <c r="B13" s="132">
        <v>46202.0</v>
      </c>
      <c r="C13" s="146"/>
      <c r="D13" s="135">
        <f t="shared" si="1"/>
        <v>477.2</v>
      </c>
      <c r="E13" s="135">
        <f t="shared" si="4"/>
        <v>627.9</v>
      </c>
      <c r="F13" s="133">
        <f t="shared" si="2"/>
        <v>1105.1</v>
      </c>
      <c r="G13" s="135">
        <f t="shared" si="3"/>
        <v>47093</v>
      </c>
    </row>
    <row r="14" ht="14.25" customHeight="1">
      <c r="A14" s="131">
        <v>10.0</v>
      </c>
      <c r="B14" s="132">
        <v>46232.0</v>
      </c>
      <c r="C14" s="146"/>
      <c r="D14" s="135">
        <f t="shared" si="1"/>
        <v>470.9</v>
      </c>
      <c r="E14" s="135">
        <f t="shared" si="4"/>
        <v>627.9</v>
      </c>
      <c r="F14" s="133">
        <f t="shared" si="2"/>
        <v>1098.8</v>
      </c>
      <c r="G14" s="135">
        <f t="shared" si="3"/>
        <v>46465.1</v>
      </c>
    </row>
    <row r="15" ht="14.25" customHeight="1">
      <c r="A15" s="131">
        <v>11.0</v>
      </c>
      <c r="B15" s="132">
        <v>46263.0</v>
      </c>
      <c r="C15" s="146"/>
      <c r="D15" s="135">
        <f t="shared" si="1"/>
        <v>464.7</v>
      </c>
      <c r="E15" s="135">
        <f t="shared" si="4"/>
        <v>627.9</v>
      </c>
      <c r="F15" s="133">
        <f t="shared" si="2"/>
        <v>1092.6</v>
      </c>
      <c r="G15" s="135">
        <f t="shared" si="3"/>
        <v>45837.2</v>
      </c>
    </row>
    <row r="16" ht="14.25" customHeight="1">
      <c r="A16" s="131">
        <v>12.0</v>
      </c>
      <c r="B16" s="132">
        <v>46294.0</v>
      </c>
      <c r="C16" s="146"/>
      <c r="D16" s="135">
        <f t="shared" si="1"/>
        <v>458.4</v>
      </c>
      <c r="E16" s="135">
        <f t="shared" si="4"/>
        <v>627.9</v>
      </c>
      <c r="F16" s="133">
        <f t="shared" si="2"/>
        <v>1086.3</v>
      </c>
      <c r="G16" s="135">
        <f t="shared" si="3"/>
        <v>45209.3</v>
      </c>
    </row>
    <row r="17" ht="14.25" customHeight="1">
      <c r="A17" s="131">
        <v>13.0</v>
      </c>
      <c r="B17" s="132">
        <v>46324.0</v>
      </c>
      <c r="C17" s="146"/>
      <c r="D17" s="135">
        <f t="shared" si="1"/>
        <v>452.1</v>
      </c>
      <c r="E17" s="135">
        <f t="shared" si="4"/>
        <v>627.9</v>
      </c>
      <c r="F17" s="133">
        <f t="shared" si="2"/>
        <v>1080</v>
      </c>
      <c r="G17" s="135">
        <f t="shared" si="3"/>
        <v>44581.4</v>
      </c>
    </row>
    <row r="18" ht="14.25" customHeight="1">
      <c r="A18" s="131">
        <v>14.0</v>
      </c>
      <c r="B18" s="132">
        <v>46355.0</v>
      </c>
      <c r="C18" s="146"/>
      <c r="D18" s="135">
        <f t="shared" si="1"/>
        <v>445.8</v>
      </c>
      <c r="E18" s="135">
        <f t="shared" si="4"/>
        <v>627.9</v>
      </c>
      <c r="F18" s="133">
        <f t="shared" si="2"/>
        <v>1073.7</v>
      </c>
      <c r="G18" s="135">
        <f t="shared" si="3"/>
        <v>43953.5</v>
      </c>
    </row>
    <row r="19" ht="14.25" customHeight="1">
      <c r="A19" s="131">
        <v>15.0</v>
      </c>
      <c r="B19" s="132">
        <v>46385.0</v>
      </c>
      <c r="C19" s="146"/>
      <c r="D19" s="135">
        <f t="shared" si="1"/>
        <v>439.5</v>
      </c>
      <c r="E19" s="135">
        <f t="shared" si="4"/>
        <v>627.9</v>
      </c>
      <c r="F19" s="133">
        <f t="shared" si="2"/>
        <v>1067.4</v>
      </c>
      <c r="G19" s="135">
        <f t="shared" si="3"/>
        <v>43325.6</v>
      </c>
    </row>
    <row r="20" ht="14.25" customHeight="1">
      <c r="A20" s="131">
        <v>16.0</v>
      </c>
      <c r="B20" s="132">
        <v>46416.0</v>
      </c>
      <c r="C20" s="146"/>
      <c r="D20" s="135">
        <f t="shared" si="1"/>
        <v>433.3</v>
      </c>
      <c r="E20" s="135">
        <f t="shared" si="4"/>
        <v>627.9</v>
      </c>
      <c r="F20" s="133">
        <f t="shared" si="2"/>
        <v>1061.2</v>
      </c>
      <c r="G20" s="135">
        <f t="shared" si="3"/>
        <v>42697.7</v>
      </c>
    </row>
    <row r="21" ht="14.25" customHeight="1">
      <c r="A21" s="131">
        <v>17.0</v>
      </c>
      <c r="B21" s="132">
        <v>46446.0</v>
      </c>
      <c r="C21" s="146"/>
      <c r="D21" s="135">
        <f t="shared" si="1"/>
        <v>427</v>
      </c>
      <c r="E21" s="135">
        <f t="shared" si="4"/>
        <v>627.9</v>
      </c>
      <c r="F21" s="133">
        <f t="shared" si="2"/>
        <v>1054.9</v>
      </c>
      <c r="G21" s="135">
        <f t="shared" si="3"/>
        <v>42069.8</v>
      </c>
    </row>
    <row r="22" ht="14.25" customHeight="1">
      <c r="A22" s="131">
        <v>18.0</v>
      </c>
      <c r="B22" s="132">
        <v>46475.0</v>
      </c>
      <c r="C22" s="146"/>
      <c r="D22" s="135">
        <f t="shared" si="1"/>
        <v>420.7</v>
      </c>
      <c r="E22" s="135">
        <f t="shared" si="4"/>
        <v>627.9</v>
      </c>
      <c r="F22" s="133">
        <f t="shared" si="2"/>
        <v>1048.6</v>
      </c>
      <c r="G22" s="135">
        <f t="shared" si="3"/>
        <v>41441.9</v>
      </c>
    </row>
    <row r="23" ht="14.25" customHeight="1">
      <c r="A23" s="131">
        <v>19.0</v>
      </c>
      <c r="B23" s="132">
        <v>46506.0</v>
      </c>
      <c r="C23" s="146"/>
      <c r="D23" s="135">
        <f t="shared" si="1"/>
        <v>414.4</v>
      </c>
      <c r="E23" s="135">
        <f t="shared" si="4"/>
        <v>627.9</v>
      </c>
      <c r="F23" s="133">
        <f t="shared" si="2"/>
        <v>1042.3</v>
      </c>
      <c r="G23" s="135">
        <f t="shared" si="3"/>
        <v>40814</v>
      </c>
    </row>
    <row r="24" ht="14.25" customHeight="1">
      <c r="A24" s="131">
        <v>20.0</v>
      </c>
      <c r="B24" s="132">
        <v>46536.0</v>
      </c>
      <c r="C24" s="146"/>
      <c r="D24" s="135">
        <f t="shared" si="1"/>
        <v>408.1</v>
      </c>
      <c r="E24" s="135">
        <f t="shared" si="4"/>
        <v>627.9</v>
      </c>
      <c r="F24" s="133">
        <f t="shared" si="2"/>
        <v>1036</v>
      </c>
      <c r="G24" s="135">
        <f t="shared" si="3"/>
        <v>40186.1</v>
      </c>
    </row>
    <row r="25" ht="14.25" customHeight="1">
      <c r="A25" s="131">
        <v>21.0</v>
      </c>
      <c r="B25" s="132">
        <v>46567.0</v>
      </c>
      <c r="C25" s="146"/>
      <c r="D25" s="135">
        <f t="shared" si="1"/>
        <v>401.9</v>
      </c>
      <c r="E25" s="135">
        <f t="shared" si="4"/>
        <v>627.9</v>
      </c>
      <c r="F25" s="133">
        <f t="shared" si="2"/>
        <v>1029.8</v>
      </c>
      <c r="G25" s="135">
        <f t="shared" si="3"/>
        <v>39558.2</v>
      </c>
    </row>
    <row r="26" ht="14.25" customHeight="1">
      <c r="A26" s="131">
        <v>22.0</v>
      </c>
      <c r="B26" s="132">
        <v>46597.0</v>
      </c>
      <c r="C26" s="146"/>
      <c r="D26" s="135">
        <f t="shared" si="1"/>
        <v>395.6</v>
      </c>
      <c r="E26" s="135">
        <f t="shared" si="4"/>
        <v>627.9</v>
      </c>
      <c r="F26" s="133">
        <f t="shared" si="2"/>
        <v>1023.5</v>
      </c>
      <c r="G26" s="135">
        <f t="shared" si="3"/>
        <v>38930.3</v>
      </c>
    </row>
    <row r="27" ht="14.25" customHeight="1">
      <c r="A27" s="131">
        <v>23.0</v>
      </c>
      <c r="B27" s="132">
        <v>46628.0</v>
      </c>
      <c r="C27" s="146"/>
      <c r="D27" s="135">
        <f t="shared" si="1"/>
        <v>389.3</v>
      </c>
      <c r="E27" s="135">
        <f t="shared" si="4"/>
        <v>627.9</v>
      </c>
      <c r="F27" s="133">
        <f t="shared" si="2"/>
        <v>1017.2</v>
      </c>
      <c r="G27" s="135">
        <f t="shared" si="3"/>
        <v>38302.4</v>
      </c>
    </row>
    <row r="28" ht="14.25" customHeight="1">
      <c r="A28" s="131">
        <v>24.0</v>
      </c>
      <c r="B28" s="132">
        <v>46659.0</v>
      </c>
      <c r="C28" s="146"/>
      <c r="D28" s="135">
        <f t="shared" si="1"/>
        <v>383</v>
      </c>
      <c r="E28" s="135">
        <f t="shared" si="4"/>
        <v>627.9</v>
      </c>
      <c r="F28" s="133">
        <f t="shared" si="2"/>
        <v>1010.9</v>
      </c>
      <c r="G28" s="135">
        <f t="shared" si="3"/>
        <v>37674.5</v>
      </c>
    </row>
    <row r="29" ht="14.25" customHeight="1">
      <c r="A29" s="131">
        <v>25.0</v>
      </c>
      <c r="B29" s="132">
        <v>46689.0</v>
      </c>
      <c r="C29" s="146"/>
      <c r="D29" s="135">
        <f t="shared" si="1"/>
        <v>376.7</v>
      </c>
      <c r="E29" s="135">
        <f t="shared" si="4"/>
        <v>627.9</v>
      </c>
      <c r="F29" s="133">
        <f t="shared" si="2"/>
        <v>1004.6</v>
      </c>
      <c r="G29" s="135">
        <f t="shared" si="3"/>
        <v>37046.6</v>
      </c>
    </row>
    <row r="30" ht="14.25" customHeight="1">
      <c r="A30" s="131">
        <v>26.0</v>
      </c>
      <c r="B30" s="132">
        <v>46720.0</v>
      </c>
      <c r="C30" s="146"/>
      <c r="D30" s="135">
        <f t="shared" si="1"/>
        <v>370.5</v>
      </c>
      <c r="E30" s="135">
        <f t="shared" si="4"/>
        <v>627.9</v>
      </c>
      <c r="F30" s="133">
        <f t="shared" si="2"/>
        <v>998.4</v>
      </c>
      <c r="G30" s="135">
        <f t="shared" si="3"/>
        <v>36418.7</v>
      </c>
    </row>
    <row r="31" ht="14.25" customHeight="1">
      <c r="A31" s="131">
        <v>27.0</v>
      </c>
      <c r="B31" s="132">
        <v>46750.0</v>
      </c>
      <c r="C31" s="146"/>
      <c r="D31" s="135">
        <f t="shared" si="1"/>
        <v>364.2</v>
      </c>
      <c r="E31" s="135">
        <f t="shared" si="4"/>
        <v>627.9</v>
      </c>
      <c r="F31" s="133">
        <f t="shared" si="2"/>
        <v>992.1</v>
      </c>
      <c r="G31" s="135">
        <f t="shared" si="3"/>
        <v>35790.8</v>
      </c>
    </row>
    <row r="32" ht="14.25" customHeight="1">
      <c r="A32" s="131">
        <v>28.0</v>
      </c>
      <c r="B32" s="132">
        <v>46781.0</v>
      </c>
      <c r="C32" s="146"/>
      <c r="D32" s="135">
        <f t="shared" si="1"/>
        <v>357.9</v>
      </c>
      <c r="E32" s="135">
        <f t="shared" si="4"/>
        <v>627.9</v>
      </c>
      <c r="F32" s="133">
        <f t="shared" si="2"/>
        <v>985.8</v>
      </c>
      <c r="G32" s="135">
        <f t="shared" si="3"/>
        <v>35162.9</v>
      </c>
    </row>
    <row r="33" ht="14.25" customHeight="1">
      <c r="A33" s="131">
        <v>29.0</v>
      </c>
      <c r="B33" s="132">
        <v>46812.0</v>
      </c>
      <c r="C33" s="146"/>
      <c r="D33" s="135">
        <f t="shared" si="1"/>
        <v>351.6</v>
      </c>
      <c r="E33" s="135">
        <f t="shared" si="4"/>
        <v>627.9</v>
      </c>
      <c r="F33" s="133">
        <f t="shared" si="2"/>
        <v>979.5</v>
      </c>
      <c r="G33" s="135">
        <f t="shared" si="3"/>
        <v>34535</v>
      </c>
    </row>
    <row r="34" ht="14.25" customHeight="1">
      <c r="A34" s="131">
        <v>30.0</v>
      </c>
      <c r="B34" s="132">
        <v>46841.0</v>
      </c>
      <c r="C34" s="146"/>
      <c r="D34" s="135">
        <f t="shared" si="1"/>
        <v>345.4</v>
      </c>
      <c r="E34" s="135">
        <f t="shared" si="4"/>
        <v>627.9</v>
      </c>
      <c r="F34" s="133">
        <f t="shared" si="2"/>
        <v>973.3</v>
      </c>
      <c r="G34" s="135">
        <f t="shared" si="3"/>
        <v>33907.1</v>
      </c>
    </row>
    <row r="35" ht="14.25" customHeight="1">
      <c r="A35" s="131">
        <v>31.0</v>
      </c>
      <c r="B35" s="132">
        <v>46872.0</v>
      </c>
      <c r="C35" s="146"/>
      <c r="D35" s="135">
        <f t="shared" si="1"/>
        <v>339.1</v>
      </c>
      <c r="E35" s="135">
        <f t="shared" si="4"/>
        <v>627.9</v>
      </c>
      <c r="F35" s="133">
        <f t="shared" si="2"/>
        <v>967</v>
      </c>
      <c r="G35" s="135">
        <f t="shared" si="3"/>
        <v>33279.2</v>
      </c>
    </row>
    <row r="36" ht="14.25" customHeight="1">
      <c r="A36" s="131">
        <v>32.0</v>
      </c>
      <c r="B36" s="132">
        <v>46902.0</v>
      </c>
      <c r="C36" s="146"/>
      <c r="D36" s="135">
        <f t="shared" si="1"/>
        <v>332.8</v>
      </c>
      <c r="E36" s="135">
        <f t="shared" si="4"/>
        <v>627.9</v>
      </c>
      <c r="F36" s="133">
        <f t="shared" si="2"/>
        <v>960.7</v>
      </c>
      <c r="G36" s="135">
        <f t="shared" si="3"/>
        <v>32651.3</v>
      </c>
    </row>
    <row r="37" ht="14.25" customHeight="1">
      <c r="A37" s="131">
        <v>33.0</v>
      </c>
      <c r="B37" s="132">
        <v>46933.0</v>
      </c>
      <c r="C37" s="146"/>
      <c r="D37" s="135">
        <f t="shared" si="1"/>
        <v>326.5</v>
      </c>
      <c r="E37" s="135">
        <f t="shared" si="4"/>
        <v>627.9</v>
      </c>
      <c r="F37" s="133">
        <f t="shared" si="2"/>
        <v>954.4</v>
      </c>
      <c r="G37" s="135">
        <f t="shared" si="3"/>
        <v>32023.4</v>
      </c>
    </row>
    <row r="38" ht="14.25" customHeight="1">
      <c r="A38" s="131">
        <v>34.0</v>
      </c>
      <c r="B38" s="132">
        <v>46963.0</v>
      </c>
      <c r="C38" s="146"/>
      <c r="D38" s="135">
        <f t="shared" si="1"/>
        <v>320.2</v>
      </c>
      <c r="E38" s="135">
        <f t="shared" si="4"/>
        <v>627.9</v>
      </c>
      <c r="F38" s="133">
        <f t="shared" si="2"/>
        <v>948.1</v>
      </c>
      <c r="G38" s="135">
        <f t="shared" si="3"/>
        <v>31395.5</v>
      </c>
    </row>
    <row r="39" ht="14.25" customHeight="1">
      <c r="A39" s="131">
        <v>35.0</v>
      </c>
      <c r="B39" s="132">
        <v>46994.0</v>
      </c>
      <c r="C39" s="146"/>
      <c r="D39" s="135">
        <f t="shared" si="1"/>
        <v>314</v>
      </c>
      <c r="E39" s="135">
        <f t="shared" si="4"/>
        <v>627.9</v>
      </c>
      <c r="F39" s="133">
        <f t="shared" si="2"/>
        <v>941.9</v>
      </c>
      <c r="G39" s="135">
        <f t="shared" si="3"/>
        <v>30767.6</v>
      </c>
    </row>
    <row r="40" ht="14.25" customHeight="1">
      <c r="A40" s="131">
        <v>36.0</v>
      </c>
      <c r="B40" s="132">
        <v>47025.0</v>
      </c>
      <c r="C40" s="146"/>
      <c r="D40" s="135">
        <f t="shared" si="1"/>
        <v>307.7</v>
      </c>
      <c r="E40" s="135">
        <f t="shared" si="4"/>
        <v>627.9</v>
      </c>
      <c r="F40" s="133">
        <f t="shared" si="2"/>
        <v>935.6</v>
      </c>
      <c r="G40" s="135">
        <f t="shared" si="3"/>
        <v>30139.7</v>
      </c>
    </row>
    <row r="41" ht="14.25" customHeight="1">
      <c r="A41" s="131">
        <v>37.0</v>
      </c>
      <c r="B41" s="132">
        <v>47055.0</v>
      </c>
      <c r="C41" s="146"/>
      <c r="D41" s="135">
        <f t="shared" si="1"/>
        <v>301.4</v>
      </c>
      <c r="E41" s="135">
        <f t="shared" si="4"/>
        <v>627.9</v>
      </c>
      <c r="F41" s="133">
        <f t="shared" si="2"/>
        <v>929.3</v>
      </c>
      <c r="G41" s="135">
        <f t="shared" si="3"/>
        <v>29511.8</v>
      </c>
    </row>
    <row r="42" ht="14.25" customHeight="1">
      <c r="A42" s="131">
        <v>38.0</v>
      </c>
      <c r="B42" s="132">
        <v>47086.0</v>
      </c>
      <c r="C42" s="146"/>
      <c r="D42" s="135">
        <f t="shared" si="1"/>
        <v>295.1</v>
      </c>
      <c r="E42" s="135">
        <f t="shared" si="4"/>
        <v>627.9</v>
      </c>
      <c r="F42" s="133">
        <f t="shared" si="2"/>
        <v>923</v>
      </c>
      <c r="G42" s="135">
        <f t="shared" si="3"/>
        <v>28883.9</v>
      </c>
    </row>
    <row r="43" ht="14.25" customHeight="1">
      <c r="A43" s="131">
        <v>39.0</v>
      </c>
      <c r="B43" s="132">
        <v>47116.0</v>
      </c>
      <c r="C43" s="146"/>
      <c r="D43" s="135">
        <f t="shared" si="1"/>
        <v>288.8</v>
      </c>
      <c r="E43" s="135">
        <f t="shared" si="4"/>
        <v>627.9</v>
      </c>
      <c r="F43" s="133">
        <f t="shared" si="2"/>
        <v>916.7</v>
      </c>
      <c r="G43" s="135">
        <f t="shared" si="3"/>
        <v>28256</v>
      </c>
    </row>
    <row r="44" ht="14.25" customHeight="1">
      <c r="A44" s="131">
        <v>40.0</v>
      </c>
      <c r="B44" s="132">
        <v>47147.0</v>
      </c>
      <c r="C44" s="146"/>
      <c r="D44" s="135">
        <f t="shared" si="1"/>
        <v>282.6</v>
      </c>
      <c r="E44" s="135">
        <f t="shared" si="4"/>
        <v>627.9</v>
      </c>
      <c r="F44" s="133">
        <f t="shared" si="2"/>
        <v>910.5</v>
      </c>
      <c r="G44" s="135">
        <f t="shared" si="3"/>
        <v>27628.1</v>
      </c>
    </row>
    <row r="45" ht="14.25" customHeight="1">
      <c r="A45" s="131">
        <v>41.0</v>
      </c>
      <c r="B45" s="132">
        <v>47177.0</v>
      </c>
      <c r="C45" s="146"/>
      <c r="D45" s="135">
        <f t="shared" si="1"/>
        <v>276.3</v>
      </c>
      <c r="E45" s="135">
        <f t="shared" si="4"/>
        <v>627.9</v>
      </c>
      <c r="F45" s="133">
        <f t="shared" si="2"/>
        <v>904.2</v>
      </c>
      <c r="G45" s="135">
        <f t="shared" si="3"/>
        <v>27000.2</v>
      </c>
    </row>
    <row r="46" ht="14.25" customHeight="1">
      <c r="A46" s="131">
        <v>42.0</v>
      </c>
      <c r="B46" s="132">
        <v>47206.0</v>
      </c>
      <c r="C46" s="146"/>
      <c r="D46" s="135">
        <f t="shared" si="1"/>
        <v>270</v>
      </c>
      <c r="E46" s="135">
        <f t="shared" si="4"/>
        <v>627.9</v>
      </c>
      <c r="F46" s="133">
        <f t="shared" si="2"/>
        <v>897.9</v>
      </c>
      <c r="G46" s="135">
        <f t="shared" si="3"/>
        <v>26372.3</v>
      </c>
    </row>
    <row r="47" ht="14.25" customHeight="1">
      <c r="A47" s="131">
        <v>43.0</v>
      </c>
      <c r="B47" s="132">
        <v>47237.0</v>
      </c>
      <c r="C47" s="146"/>
      <c r="D47" s="135">
        <f t="shared" si="1"/>
        <v>263.7</v>
      </c>
      <c r="E47" s="135">
        <f t="shared" si="4"/>
        <v>627.9</v>
      </c>
      <c r="F47" s="133">
        <f t="shared" si="2"/>
        <v>891.6</v>
      </c>
      <c r="G47" s="135">
        <f t="shared" si="3"/>
        <v>25744.4</v>
      </c>
    </row>
    <row r="48" ht="14.25" customHeight="1">
      <c r="A48" s="131">
        <v>44.0</v>
      </c>
      <c r="B48" s="132">
        <v>47267.0</v>
      </c>
      <c r="C48" s="146"/>
      <c r="D48" s="135">
        <f t="shared" si="1"/>
        <v>257.4</v>
      </c>
      <c r="E48" s="135">
        <f t="shared" si="4"/>
        <v>627.9</v>
      </c>
      <c r="F48" s="133">
        <f t="shared" si="2"/>
        <v>885.3</v>
      </c>
      <c r="G48" s="135">
        <f t="shared" si="3"/>
        <v>25116.5</v>
      </c>
    </row>
    <row r="49" ht="14.25" customHeight="1">
      <c r="A49" s="131">
        <v>45.0</v>
      </c>
      <c r="B49" s="132">
        <v>47298.0</v>
      </c>
      <c r="C49" s="146"/>
      <c r="D49" s="135">
        <f t="shared" si="1"/>
        <v>251.2</v>
      </c>
      <c r="E49" s="135">
        <f t="shared" si="4"/>
        <v>627.9</v>
      </c>
      <c r="F49" s="133">
        <f t="shared" si="2"/>
        <v>879.1</v>
      </c>
      <c r="G49" s="135">
        <f t="shared" si="3"/>
        <v>24488.6</v>
      </c>
    </row>
    <row r="50" ht="14.25" customHeight="1">
      <c r="A50" s="131">
        <v>46.0</v>
      </c>
      <c r="B50" s="132">
        <v>47328.0</v>
      </c>
      <c r="C50" s="146"/>
      <c r="D50" s="135">
        <f t="shared" si="1"/>
        <v>244.9</v>
      </c>
      <c r="E50" s="135">
        <f t="shared" si="4"/>
        <v>627.9</v>
      </c>
      <c r="F50" s="133">
        <f t="shared" si="2"/>
        <v>872.8</v>
      </c>
      <c r="G50" s="135">
        <f t="shared" si="3"/>
        <v>23860.7</v>
      </c>
    </row>
    <row r="51" ht="14.25" customHeight="1">
      <c r="A51" s="131">
        <v>47.0</v>
      </c>
      <c r="B51" s="132">
        <v>47359.0</v>
      </c>
      <c r="C51" s="146"/>
      <c r="D51" s="135">
        <f t="shared" si="1"/>
        <v>238.6</v>
      </c>
      <c r="E51" s="135">
        <f t="shared" si="4"/>
        <v>627.9</v>
      </c>
      <c r="F51" s="133">
        <f t="shared" si="2"/>
        <v>866.5</v>
      </c>
      <c r="G51" s="135">
        <f t="shared" si="3"/>
        <v>23232.8</v>
      </c>
    </row>
    <row r="52" ht="14.25" customHeight="1">
      <c r="A52" s="131">
        <v>48.0</v>
      </c>
      <c r="B52" s="132">
        <v>47390.0</v>
      </c>
      <c r="C52" s="146"/>
      <c r="D52" s="135">
        <f t="shared" si="1"/>
        <v>232.3</v>
      </c>
      <c r="E52" s="135">
        <f t="shared" si="4"/>
        <v>627.9</v>
      </c>
      <c r="F52" s="133">
        <f t="shared" si="2"/>
        <v>860.2</v>
      </c>
      <c r="G52" s="135">
        <f t="shared" si="3"/>
        <v>22604.9</v>
      </c>
    </row>
    <row r="53" ht="14.25" customHeight="1">
      <c r="A53" s="131">
        <v>49.0</v>
      </c>
      <c r="B53" s="132">
        <v>47420.0</v>
      </c>
      <c r="C53" s="146"/>
      <c r="D53" s="135">
        <f t="shared" si="1"/>
        <v>226</v>
      </c>
      <c r="E53" s="135">
        <f t="shared" si="4"/>
        <v>627.9</v>
      </c>
      <c r="F53" s="133">
        <f t="shared" si="2"/>
        <v>853.9</v>
      </c>
      <c r="G53" s="135">
        <f t="shared" si="3"/>
        <v>21977</v>
      </c>
    </row>
    <row r="54" ht="14.25" customHeight="1">
      <c r="A54" s="131">
        <v>50.0</v>
      </c>
      <c r="B54" s="132">
        <v>47451.0</v>
      </c>
      <c r="C54" s="146"/>
      <c r="D54" s="135">
        <f t="shared" si="1"/>
        <v>219.8</v>
      </c>
      <c r="E54" s="135">
        <f t="shared" si="4"/>
        <v>627.9</v>
      </c>
      <c r="F54" s="133">
        <f t="shared" si="2"/>
        <v>847.7</v>
      </c>
      <c r="G54" s="135">
        <f t="shared" si="3"/>
        <v>21349.1</v>
      </c>
    </row>
    <row r="55" ht="14.25" customHeight="1">
      <c r="A55" s="131">
        <v>51.0</v>
      </c>
      <c r="B55" s="132">
        <v>47481.0</v>
      </c>
      <c r="C55" s="146"/>
      <c r="D55" s="135">
        <f t="shared" si="1"/>
        <v>213.5</v>
      </c>
      <c r="E55" s="135">
        <f t="shared" si="4"/>
        <v>627.9</v>
      </c>
      <c r="F55" s="133">
        <f t="shared" si="2"/>
        <v>841.4</v>
      </c>
      <c r="G55" s="135">
        <f t="shared" si="3"/>
        <v>20721.2</v>
      </c>
    </row>
    <row r="56" ht="14.25" customHeight="1">
      <c r="A56" s="131">
        <v>52.0</v>
      </c>
      <c r="B56" s="132">
        <v>47512.0</v>
      </c>
      <c r="C56" s="146"/>
      <c r="D56" s="135">
        <f t="shared" si="1"/>
        <v>207.2</v>
      </c>
      <c r="E56" s="135">
        <f t="shared" si="4"/>
        <v>627.9</v>
      </c>
      <c r="F56" s="133">
        <f t="shared" si="2"/>
        <v>835.1</v>
      </c>
      <c r="G56" s="135">
        <f t="shared" si="3"/>
        <v>20093.3</v>
      </c>
    </row>
    <row r="57" ht="14.25" customHeight="1">
      <c r="A57" s="131">
        <v>53.0</v>
      </c>
      <c r="B57" s="132">
        <v>47542.0</v>
      </c>
      <c r="C57" s="146"/>
      <c r="D57" s="135">
        <f t="shared" si="1"/>
        <v>200.9</v>
      </c>
      <c r="E57" s="135">
        <f t="shared" si="4"/>
        <v>627.9</v>
      </c>
      <c r="F57" s="133">
        <f t="shared" si="2"/>
        <v>828.8</v>
      </c>
      <c r="G57" s="135">
        <f t="shared" si="3"/>
        <v>19465.4</v>
      </c>
    </row>
    <row r="58" ht="14.25" customHeight="1">
      <c r="A58" s="131">
        <v>54.0</v>
      </c>
      <c r="B58" s="132">
        <v>47571.0</v>
      </c>
      <c r="C58" s="146"/>
      <c r="D58" s="135">
        <f t="shared" si="1"/>
        <v>194.7</v>
      </c>
      <c r="E58" s="135">
        <f t="shared" si="4"/>
        <v>627.9</v>
      </c>
      <c r="F58" s="133">
        <f t="shared" si="2"/>
        <v>822.6</v>
      </c>
      <c r="G58" s="135">
        <f t="shared" si="3"/>
        <v>18837.5</v>
      </c>
    </row>
    <row r="59" ht="14.25" customHeight="1">
      <c r="A59" s="131">
        <v>55.0</v>
      </c>
      <c r="B59" s="132">
        <v>47602.0</v>
      </c>
      <c r="C59" s="146"/>
      <c r="D59" s="135">
        <f t="shared" si="1"/>
        <v>188.4</v>
      </c>
      <c r="E59" s="135">
        <f t="shared" si="4"/>
        <v>627.9</v>
      </c>
      <c r="F59" s="133">
        <f t="shared" si="2"/>
        <v>816.3</v>
      </c>
      <c r="G59" s="135">
        <f t="shared" si="3"/>
        <v>18209.6</v>
      </c>
    </row>
    <row r="60" ht="14.25" customHeight="1">
      <c r="A60" s="131">
        <v>56.0</v>
      </c>
      <c r="B60" s="132">
        <v>47632.0</v>
      </c>
      <c r="C60" s="146"/>
      <c r="D60" s="135">
        <f t="shared" si="1"/>
        <v>182.1</v>
      </c>
      <c r="E60" s="135">
        <f t="shared" si="4"/>
        <v>627.9</v>
      </c>
      <c r="F60" s="133">
        <f t="shared" si="2"/>
        <v>810</v>
      </c>
      <c r="G60" s="135">
        <f t="shared" si="3"/>
        <v>17581.7</v>
      </c>
    </row>
    <row r="61" ht="14.25" customHeight="1">
      <c r="A61" s="131">
        <v>57.0</v>
      </c>
      <c r="B61" s="132">
        <v>47663.0</v>
      </c>
      <c r="C61" s="146"/>
      <c r="D61" s="135">
        <f t="shared" si="1"/>
        <v>175.8</v>
      </c>
      <c r="E61" s="135">
        <f t="shared" si="4"/>
        <v>627.9</v>
      </c>
      <c r="F61" s="133">
        <f t="shared" si="2"/>
        <v>803.7</v>
      </c>
      <c r="G61" s="135">
        <f t="shared" si="3"/>
        <v>16953.8</v>
      </c>
    </row>
    <row r="62" ht="14.25" customHeight="1">
      <c r="A62" s="131">
        <v>58.0</v>
      </c>
      <c r="B62" s="132">
        <v>47693.0</v>
      </c>
      <c r="C62" s="146"/>
      <c r="D62" s="135">
        <f t="shared" si="1"/>
        <v>169.5</v>
      </c>
      <c r="E62" s="135">
        <f t="shared" si="4"/>
        <v>627.9</v>
      </c>
      <c r="F62" s="133">
        <f t="shared" si="2"/>
        <v>797.4</v>
      </c>
      <c r="G62" s="135">
        <f t="shared" si="3"/>
        <v>16325.9</v>
      </c>
    </row>
    <row r="63" ht="14.25" customHeight="1">
      <c r="A63" s="131">
        <v>59.0</v>
      </c>
      <c r="B63" s="132">
        <v>47724.0</v>
      </c>
      <c r="C63" s="146"/>
      <c r="D63" s="135">
        <f t="shared" si="1"/>
        <v>163.3</v>
      </c>
      <c r="E63" s="135">
        <f t="shared" si="4"/>
        <v>627.9</v>
      </c>
      <c r="F63" s="133">
        <f t="shared" si="2"/>
        <v>791.2</v>
      </c>
      <c r="G63" s="135">
        <f t="shared" si="3"/>
        <v>15698</v>
      </c>
    </row>
    <row r="64" ht="14.25" customHeight="1">
      <c r="A64" s="131">
        <v>60.0</v>
      </c>
      <c r="B64" s="132">
        <v>47755.0</v>
      </c>
      <c r="C64" s="146"/>
      <c r="D64" s="135">
        <f t="shared" si="1"/>
        <v>157</v>
      </c>
      <c r="E64" s="135">
        <f t="shared" si="4"/>
        <v>627.9</v>
      </c>
      <c r="F64" s="133">
        <f t="shared" si="2"/>
        <v>784.9</v>
      </c>
      <c r="G64" s="135">
        <f t="shared" si="3"/>
        <v>15070.1</v>
      </c>
    </row>
    <row r="65" ht="14.25" customHeight="1">
      <c r="A65" s="131">
        <v>61.0</v>
      </c>
      <c r="B65" s="132">
        <v>47785.0</v>
      </c>
      <c r="C65" s="146"/>
      <c r="D65" s="135">
        <f t="shared" si="1"/>
        <v>150.7</v>
      </c>
      <c r="E65" s="135">
        <f t="shared" si="4"/>
        <v>627.9</v>
      </c>
      <c r="F65" s="133">
        <f t="shared" si="2"/>
        <v>778.6</v>
      </c>
      <c r="G65" s="135">
        <f t="shared" si="3"/>
        <v>14442.2</v>
      </c>
    </row>
    <row r="66" ht="14.25" customHeight="1">
      <c r="A66" s="131">
        <v>62.0</v>
      </c>
      <c r="B66" s="132">
        <v>47816.0</v>
      </c>
      <c r="C66" s="146"/>
      <c r="D66" s="135">
        <f t="shared" si="1"/>
        <v>144.4</v>
      </c>
      <c r="E66" s="135">
        <f t="shared" si="4"/>
        <v>627.9</v>
      </c>
      <c r="F66" s="133">
        <f t="shared" si="2"/>
        <v>772.3</v>
      </c>
      <c r="G66" s="135">
        <f t="shared" si="3"/>
        <v>13814.3</v>
      </c>
    </row>
    <row r="67" ht="14.25" customHeight="1">
      <c r="A67" s="131">
        <v>63.0</v>
      </c>
      <c r="B67" s="132">
        <v>47846.0</v>
      </c>
      <c r="C67" s="146"/>
      <c r="D67" s="135">
        <f t="shared" si="1"/>
        <v>138.1</v>
      </c>
      <c r="E67" s="135">
        <f t="shared" si="4"/>
        <v>627.9</v>
      </c>
      <c r="F67" s="133">
        <f t="shared" si="2"/>
        <v>766</v>
      </c>
      <c r="G67" s="135">
        <f t="shared" si="3"/>
        <v>13186.4</v>
      </c>
    </row>
    <row r="68" ht="14.25" customHeight="1">
      <c r="A68" s="131">
        <v>64.0</v>
      </c>
      <c r="B68" s="132">
        <v>47877.0</v>
      </c>
      <c r="C68" s="146"/>
      <c r="D68" s="135">
        <f t="shared" si="1"/>
        <v>131.9</v>
      </c>
      <c r="E68" s="135">
        <f t="shared" si="4"/>
        <v>627.9</v>
      </c>
      <c r="F68" s="133">
        <f t="shared" si="2"/>
        <v>759.8</v>
      </c>
      <c r="G68" s="135">
        <f t="shared" si="3"/>
        <v>12558.5</v>
      </c>
    </row>
    <row r="69" ht="14.25" customHeight="1">
      <c r="A69" s="131">
        <v>65.0</v>
      </c>
      <c r="B69" s="132">
        <v>47907.0</v>
      </c>
      <c r="C69" s="146"/>
      <c r="D69" s="135">
        <f t="shared" si="1"/>
        <v>125.6</v>
      </c>
      <c r="E69" s="135">
        <f t="shared" si="4"/>
        <v>627.9</v>
      </c>
      <c r="F69" s="133">
        <f t="shared" si="2"/>
        <v>753.5</v>
      </c>
      <c r="G69" s="135">
        <f t="shared" si="3"/>
        <v>11930.6</v>
      </c>
    </row>
    <row r="70" ht="14.25" customHeight="1">
      <c r="A70" s="131">
        <v>66.0</v>
      </c>
      <c r="B70" s="132">
        <v>47936.0</v>
      </c>
      <c r="C70" s="146"/>
      <c r="D70" s="135">
        <f t="shared" si="1"/>
        <v>119.3</v>
      </c>
      <c r="E70" s="135">
        <f t="shared" si="4"/>
        <v>627.9</v>
      </c>
      <c r="F70" s="133">
        <f t="shared" si="2"/>
        <v>747.2</v>
      </c>
      <c r="G70" s="135">
        <f t="shared" si="3"/>
        <v>11302.7</v>
      </c>
    </row>
    <row r="71" ht="14.25" customHeight="1">
      <c r="A71" s="131">
        <v>67.0</v>
      </c>
      <c r="B71" s="132">
        <v>47967.0</v>
      </c>
      <c r="C71" s="146"/>
      <c r="D71" s="135">
        <f t="shared" si="1"/>
        <v>113</v>
      </c>
      <c r="E71" s="135">
        <f t="shared" si="4"/>
        <v>627.9</v>
      </c>
      <c r="F71" s="133">
        <f t="shared" si="2"/>
        <v>740.9</v>
      </c>
      <c r="G71" s="135">
        <f t="shared" si="3"/>
        <v>10674.8</v>
      </c>
    </row>
    <row r="72" ht="14.25" customHeight="1">
      <c r="A72" s="131">
        <v>68.0</v>
      </c>
      <c r="B72" s="132">
        <v>47997.0</v>
      </c>
      <c r="C72" s="146"/>
      <c r="D72" s="135">
        <f t="shared" si="1"/>
        <v>106.7</v>
      </c>
      <c r="E72" s="135">
        <f t="shared" si="4"/>
        <v>627.9</v>
      </c>
      <c r="F72" s="133">
        <f t="shared" si="2"/>
        <v>734.6</v>
      </c>
      <c r="G72" s="135">
        <f t="shared" si="3"/>
        <v>10046.9</v>
      </c>
    </row>
    <row r="73" ht="14.25" customHeight="1">
      <c r="A73" s="131">
        <v>69.0</v>
      </c>
      <c r="B73" s="132">
        <v>48028.0</v>
      </c>
      <c r="C73" s="146"/>
      <c r="D73" s="135">
        <f t="shared" si="1"/>
        <v>100.5</v>
      </c>
      <c r="E73" s="135">
        <f t="shared" si="4"/>
        <v>627.9</v>
      </c>
      <c r="F73" s="133">
        <f t="shared" si="2"/>
        <v>728.4</v>
      </c>
      <c r="G73" s="135">
        <f t="shared" si="3"/>
        <v>9419</v>
      </c>
    </row>
    <row r="74" ht="14.25" customHeight="1">
      <c r="A74" s="131">
        <v>70.0</v>
      </c>
      <c r="B74" s="132">
        <v>48058.0</v>
      </c>
      <c r="C74" s="146"/>
      <c r="D74" s="135">
        <f t="shared" si="1"/>
        <v>94.2</v>
      </c>
      <c r="E74" s="135">
        <f t="shared" si="4"/>
        <v>627.9</v>
      </c>
      <c r="F74" s="133">
        <f t="shared" si="2"/>
        <v>722.1</v>
      </c>
      <c r="G74" s="135">
        <f t="shared" si="3"/>
        <v>8791.1</v>
      </c>
    </row>
    <row r="75" ht="14.25" customHeight="1">
      <c r="A75" s="131">
        <v>71.0</v>
      </c>
      <c r="B75" s="132">
        <v>48089.0</v>
      </c>
      <c r="C75" s="146"/>
      <c r="D75" s="135">
        <f t="shared" si="1"/>
        <v>87.9</v>
      </c>
      <c r="E75" s="135">
        <f t="shared" si="4"/>
        <v>627.9</v>
      </c>
      <c r="F75" s="133">
        <f t="shared" si="2"/>
        <v>715.8</v>
      </c>
      <c r="G75" s="135">
        <f t="shared" si="3"/>
        <v>8163.2</v>
      </c>
    </row>
    <row r="76" ht="14.25" customHeight="1">
      <c r="A76" s="131">
        <v>72.0</v>
      </c>
      <c r="B76" s="132">
        <v>48120.0</v>
      </c>
      <c r="C76" s="146"/>
      <c r="D76" s="135">
        <f t="shared" si="1"/>
        <v>81.6</v>
      </c>
      <c r="E76" s="135">
        <f t="shared" si="4"/>
        <v>627.9</v>
      </c>
      <c r="F76" s="133">
        <f t="shared" si="2"/>
        <v>709.5</v>
      </c>
      <c r="G76" s="135">
        <f t="shared" si="3"/>
        <v>7535.3</v>
      </c>
    </row>
    <row r="77" ht="14.25" customHeight="1">
      <c r="A77" s="131">
        <v>73.0</v>
      </c>
      <c r="B77" s="132">
        <v>48150.0</v>
      </c>
      <c r="C77" s="146"/>
      <c r="D77" s="135">
        <f t="shared" si="1"/>
        <v>75.4</v>
      </c>
      <c r="E77" s="135">
        <f t="shared" si="4"/>
        <v>627.9</v>
      </c>
      <c r="F77" s="133">
        <f t="shared" si="2"/>
        <v>703.3</v>
      </c>
      <c r="G77" s="135">
        <f t="shared" si="3"/>
        <v>6907.4</v>
      </c>
    </row>
    <row r="78" ht="14.25" customHeight="1">
      <c r="A78" s="131">
        <v>74.0</v>
      </c>
      <c r="B78" s="132">
        <v>48181.0</v>
      </c>
      <c r="C78" s="146"/>
      <c r="D78" s="135">
        <f t="shared" si="1"/>
        <v>69.1</v>
      </c>
      <c r="E78" s="135">
        <f t="shared" si="4"/>
        <v>627.9</v>
      </c>
      <c r="F78" s="133">
        <f t="shared" si="2"/>
        <v>697</v>
      </c>
      <c r="G78" s="135">
        <f t="shared" si="3"/>
        <v>6279.5</v>
      </c>
    </row>
    <row r="79" ht="14.25" customHeight="1">
      <c r="A79" s="131">
        <v>75.0</v>
      </c>
      <c r="B79" s="132">
        <v>48211.0</v>
      </c>
      <c r="C79" s="146"/>
      <c r="D79" s="135">
        <f t="shared" si="1"/>
        <v>62.8</v>
      </c>
      <c r="E79" s="135">
        <f t="shared" si="4"/>
        <v>627.9</v>
      </c>
      <c r="F79" s="133">
        <f t="shared" si="2"/>
        <v>690.7</v>
      </c>
      <c r="G79" s="135">
        <f t="shared" si="3"/>
        <v>5651.6</v>
      </c>
    </row>
    <row r="80" ht="14.25" customHeight="1">
      <c r="A80" s="131">
        <v>76.0</v>
      </c>
      <c r="B80" s="132">
        <v>48242.0</v>
      </c>
      <c r="C80" s="146"/>
      <c r="D80" s="135">
        <f t="shared" si="1"/>
        <v>56.5</v>
      </c>
      <c r="E80" s="135">
        <f t="shared" si="4"/>
        <v>627.9</v>
      </c>
      <c r="F80" s="133">
        <f t="shared" si="2"/>
        <v>684.4</v>
      </c>
      <c r="G80" s="135">
        <f t="shared" si="3"/>
        <v>5023.7</v>
      </c>
    </row>
    <row r="81" ht="14.25" customHeight="1">
      <c r="A81" s="131">
        <v>77.0</v>
      </c>
      <c r="B81" s="132">
        <v>48273.0</v>
      </c>
      <c r="C81" s="146"/>
      <c r="D81" s="135">
        <f t="shared" si="1"/>
        <v>50.2</v>
      </c>
      <c r="E81" s="135">
        <f t="shared" si="4"/>
        <v>627.9</v>
      </c>
      <c r="F81" s="133">
        <f t="shared" si="2"/>
        <v>678.1</v>
      </c>
      <c r="G81" s="135">
        <f t="shared" si="3"/>
        <v>4395.8</v>
      </c>
    </row>
    <row r="82" ht="14.25" customHeight="1">
      <c r="A82" s="131">
        <v>78.0</v>
      </c>
      <c r="B82" s="132">
        <v>48302.0</v>
      </c>
      <c r="C82" s="146"/>
      <c r="D82" s="135">
        <f t="shared" si="1"/>
        <v>44</v>
      </c>
      <c r="E82" s="135">
        <f t="shared" si="4"/>
        <v>627.9</v>
      </c>
      <c r="F82" s="133">
        <f t="shared" si="2"/>
        <v>671.9</v>
      </c>
      <c r="G82" s="135">
        <f t="shared" si="3"/>
        <v>3767.9</v>
      </c>
    </row>
    <row r="83" ht="14.25" customHeight="1">
      <c r="A83" s="131">
        <v>79.0</v>
      </c>
      <c r="B83" s="132">
        <v>48333.0</v>
      </c>
      <c r="C83" s="146"/>
      <c r="D83" s="135">
        <f t="shared" si="1"/>
        <v>37.7</v>
      </c>
      <c r="E83" s="135">
        <f t="shared" si="4"/>
        <v>627.9</v>
      </c>
      <c r="F83" s="133">
        <f t="shared" si="2"/>
        <v>665.6</v>
      </c>
      <c r="G83" s="135">
        <f t="shared" si="3"/>
        <v>3140</v>
      </c>
    </row>
    <row r="84" ht="14.25" customHeight="1">
      <c r="A84" s="131">
        <v>80.0</v>
      </c>
      <c r="B84" s="132">
        <v>48363.0</v>
      </c>
      <c r="C84" s="146"/>
      <c r="D84" s="135">
        <f t="shared" si="1"/>
        <v>31.4</v>
      </c>
      <c r="E84" s="135">
        <f t="shared" si="4"/>
        <v>627.9</v>
      </c>
      <c r="F84" s="133">
        <f t="shared" si="2"/>
        <v>659.3</v>
      </c>
      <c r="G84" s="135">
        <f t="shared" si="3"/>
        <v>2512.1</v>
      </c>
    </row>
    <row r="85" ht="14.25" customHeight="1">
      <c r="A85" s="131">
        <v>81.0</v>
      </c>
      <c r="B85" s="132">
        <v>48394.0</v>
      </c>
      <c r="C85" s="146"/>
      <c r="D85" s="135">
        <f t="shared" si="1"/>
        <v>25.1</v>
      </c>
      <c r="E85" s="135">
        <f t="shared" si="4"/>
        <v>627.9</v>
      </c>
      <c r="F85" s="133">
        <f t="shared" si="2"/>
        <v>653</v>
      </c>
      <c r="G85" s="135">
        <f t="shared" si="3"/>
        <v>1884.2</v>
      </c>
    </row>
    <row r="86" ht="14.25" customHeight="1">
      <c r="A86" s="131">
        <v>82.0</v>
      </c>
      <c r="B86" s="132">
        <v>48424.0</v>
      </c>
      <c r="C86" s="146"/>
      <c r="D86" s="135">
        <f t="shared" si="1"/>
        <v>18.8</v>
      </c>
      <c r="E86" s="135">
        <f t="shared" si="4"/>
        <v>627.9</v>
      </c>
      <c r="F86" s="133">
        <f t="shared" si="2"/>
        <v>646.7</v>
      </c>
      <c r="G86" s="135">
        <f t="shared" si="3"/>
        <v>1256.3</v>
      </c>
    </row>
    <row r="87" ht="14.25" customHeight="1">
      <c r="A87" s="131">
        <v>83.0</v>
      </c>
      <c r="B87" s="132">
        <v>48455.0</v>
      </c>
      <c r="C87" s="146"/>
      <c r="D87" s="135">
        <f t="shared" si="1"/>
        <v>12.6</v>
      </c>
      <c r="E87" s="135">
        <f t="shared" si="4"/>
        <v>627.9</v>
      </c>
      <c r="F87" s="133">
        <f t="shared" si="2"/>
        <v>640.5</v>
      </c>
      <c r="G87" s="135">
        <f t="shared" si="3"/>
        <v>628.4</v>
      </c>
    </row>
    <row r="88" ht="14.25" customHeight="1">
      <c r="A88" s="131">
        <v>84.0</v>
      </c>
      <c r="B88" s="132">
        <v>48486.0</v>
      </c>
      <c r="C88" s="146"/>
      <c r="D88" s="135">
        <f t="shared" si="1"/>
        <v>6.3</v>
      </c>
      <c r="E88" s="135">
        <f>ROUNDDOWN($C$4/84,1)+0.5</f>
        <v>628.4</v>
      </c>
      <c r="F88" s="133">
        <f t="shared" si="2"/>
        <v>634.7</v>
      </c>
      <c r="G88" s="135">
        <f t="shared" si="3"/>
        <v>0</v>
      </c>
    </row>
    <row r="89" ht="14.25" customHeight="1">
      <c r="A89" s="129" t="s">
        <v>252</v>
      </c>
      <c r="B89" s="2"/>
      <c r="C89" s="3"/>
      <c r="D89" s="147">
        <f t="shared" ref="D89:F89" si="5">+SUM(D5:D88)</f>
        <v>22416.5</v>
      </c>
      <c r="E89" s="147">
        <f t="shared" si="5"/>
        <v>52744.1</v>
      </c>
      <c r="F89" s="147">
        <f t="shared" si="5"/>
        <v>75160.6</v>
      </c>
      <c r="G89" s="148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352</v>
      </c>
      <c r="B1" s="2"/>
      <c r="C1" s="2"/>
      <c r="D1" s="2"/>
      <c r="E1" s="2"/>
      <c r="F1" s="2"/>
      <c r="G1" s="3"/>
    </row>
    <row r="2" ht="14.25" customHeight="1">
      <c r="A2" s="129" t="s">
        <v>353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45594.0</v>
      </c>
      <c r="C4" s="133">
        <f>+J6</f>
        <v>14320.9</v>
      </c>
      <c r="D4" s="134">
        <v>0.01</v>
      </c>
      <c r="E4" s="135"/>
      <c r="F4" s="135"/>
      <c r="G4" s="135">
        <f>+C4</f>
        <v>14320.9</v>
      </c>
    </row>
    <row r="5" ht="14.25" customHeight="1">
      <c r="A5" s="136">
        <v>1.0</v>
      </c>
      <c r="B5" s="137">
        <v>45625.0</v>
      </c>
      <c r="C5" s="138"/>
      <c r="D5" s="138">
        <f t="shared" ref="D5:D64" si="1">+ROUND(G4*0.01,1)</f>
        <v>143.2</v>
      </c>
      <c r="E5" s="138">
        <f t="shared" ref="E5:E63" si="2">ROUNDUP($C$4/60,1)</f>
        <v>238.7</v>
      </c>
      <c r="F5" s="139">
        <f t="shared" ref="F5:F64" si="3">+ROUND(D5+E5,1)</f>
        <v>381.9</v>
      </c>
      <c r="G5" s="138">
        <f t="shared" ref="G5:G64" si="4">+ROUND(G4-E5,1)</f>
        <v>14082.2</v>
      </c>
      <c r="I5" s="140" t="s">
        <v>257</v>
      </c>
      <c r="J5" s="141">
        <v>14320.900000000001</v>
      </c>
    </row>
    <row r="6" ht="14.25" customHeight="1">
      <c r="A6" s="136">
        <v>2.0</v>
      </c>
      <c r="B6" s="137">
        <v>45655.0</v>
      </c>
      <c r="C6" s="144"/>
      <c r="D6" s="138">
        <f t="shared" si="1"/>
        <v>140.8</v>
      </c>
      <c r="E6" s="138">
        <f t="shared" si="2"/>
        <v>238.7</v>
      </c>
      <c r="F6" s="139">
        <f t="shared" si="3"/>
        <v>379.5</v>
      </c>
      <c r="G6" s="138">
        <f t="shared" si="4"/>
        <v>13843.5</v>
      </c>
      <c r="I6" s="142" t="s">
        <v>252</v>
      </c>
      <c r="J6" s="143">
        <f>+SUM(J5)</f>
        <v>14320.9</v>
      </c>
    </row>
    <row r="7" ht="14.25" customHeight="1">
      <c r="A7" s="136">
        <v>3.0</v>
      </c>
      <c r="B7" s="137">
        <v>45686.0</v>
      </c>
      <c r="C7" s="144"/>
      <c r="D7" s="138">
        <f t="shared" si="1"/>
        <v>138.4</v>
      </c>
      <c r="E7" s="138">
        <f t="shared" si="2"/>
        <v>238.7</v>
      </c>
      <c r="F7" s="139">
        <f t="shared" si="3"/>
        <v>377.1</v>
      </c>
      <c r="G7" s="138">
        <f t="shared" si="4"/>
        <v>13604.8</v>
      </c>
    </row>
    <row r="8" ht="14.25" customHeight="1">
      <c r="A8" s="136">
        <v>4.0</v>
      </c>
      <c r="B8" s="137">
        <v>45716.0</v>
      </c>
      <c r="C8" s="144"/>
      <c r="D8" s="138">
        <f t="shared" si="1"/>
        <v>136</v>
      </c>
      <c r="E8" s="138">
        <f t="shared" si="2"/>
        <v>238.7</v>
      </c>
      <c r="F8" s="139">
        <f t="shared" si="3"/>
        <v>374.7</v>
      </c>
      <c r="G8" s="138">
        <f t="shared" si="4"/>
        <v>13366.1</v>
      </c>
    </row>
    <row r="9" ht="14.25" customHeight="1">
      <c r="A9" s="136">
        <v>5.0</v>
      </c>
      <c r="B9" s="137">
        <v>45745.0</v>
      </c>
      <c r="C9" s="144"/>
      <c r="D9" s="138">
        <f t="shared" si="1"/>
        <v>133.7</v>
      </c>
      <c r="E9" s="138">
        <f t="shared" si="2"/>
        <v>238.7</v>
      </c>
      <c r="F9" s="139">
        <f t="shared" si="3"/>
        <v>372.4</v>
      </c>
      <c r="G9" s="138">
        <f t="shared" si="4"/>
        <v>13127.4</v>
      </c>
    </row>
    <row r="10" ht="14.25" customHeight="1">
      <c r="A10" s="136">
        <v>6.0</v>
      </c>
      <c r="B10" s="137">
        <v>45776.0</v>
      </c>
      <c r="C10" s="144"/>
      <c r="D10" s="138">
        <f t="shared" si="1"/>
        <v>131.3</v>
      </c>
      <c r="E10" s="138">
        <f t="shared" si="2"/>
        <v>238.7</v>
      </c>
      <c r="F10" s="139">
        <f t="shared" si="3"/>
        <v>370</v>
      </c>
      <c r="G10" s="138">
        <f t="shared" si="4"/>
        <v>12888.7</v>
      </c>
    </row>
    <row r="11" ht="14.25" customHeight="1">
      <c r="A11" s="136">
        <v>7.0</v>
      </c>
      <c r="B11" s="137">
        <v>45806.0</v>
      </c>
      <c r="C11" s="144"/>
      <c r="D11" s="138">
        <f t="shared" si="1"/>
        <v>128.9</v>
      </c>
      <c r="E11" s="138">
        <f t="shared" si="2"/>
        <v>238.7</v>
      </c>
      <c r="F11" s="139">
        <f t="shared" si="3"/>
        <v>367.6</v>
      </c>
      <c r="G11" s="138">
        <f t="shared" si="4"/>
        <v>12650</v>
      </c>
    </row>
    <row r="12" ht="14.25" customHeight="1">
      <c r="A12" s="136">
        <v>8.0</v>
      </c>
      <c r="B12" s="137">
        <v>45837.0</v>
      </c>
      <c r="C12" s="144"/>
      <c r="D12" s="138">
        <f t="shared" si="1"/>
        <v>126.5</v>
      </c>
      <c r="E12" s="138">
        <f t="shared" si="2"/>
        <v>238.7</v>
      </c>
      <c r="F12" s="139">
        <f t="shared" si="3"/>
        <v>365.2</v>
      </c>
      <c r="G12" s="138">
        <f t="shared" si="4"/>
        <v>12411.3</v>
      </c>
    </row>
    <row r="13" ht="14.25" customHeight="1">
      <c r="A13" s="136">
        <v>9.0</v>
      </c>
      <c r="B13" s="137">
        <v>45867.0</v>
      </c>
      <c r="C13" s="144"/>
      <c r="D13" s="138">
        <f t="shared" si="1"/>
        <v>124.1</v>
      </c>
      <c r="E13" s="138">
        <f t="shared" si="2"/>
        <v>238.7</v>
      </c>
      <c r="F13" s="139">
        <f t="shared" si="3"/>
        <v>362.8</v>
      </c>
      <c r="G13" s="138">
        <f t="shared" si="4"/>
        <v>12172.6</v>
      </c>
    </row>
    <row r="14" ht="14.25" customHeight="1">
      <c r="A14" s="136">
        <v>10.0</v>
      </c>
      <c r="B14" s="137">
        <v>45898.0</v>
      </c>
      <c r="C14" s="144"/>
      <c r="D14" s="138">
        <f t="shared" si="1"/>
        <v>121.7</v>
      </c>
      <c r="E14" s="138">
        <f t="shared" si="2"/>
        <v>238.7</v>
      </c>
      <c r="F14" s="139">
        <f t="shared" si="3"/>
        <v>360.4</v>
      </c>
      <c r="G14" s="138">
        <f t="shared" si="4"/>
        <v>11933.9</v>
      </c>
    </row>
    <row r="15" ht="14.25" customHeight="1">
      <c r="A15" s="136">
        <v>11.0</v>
      </c>
      <c r="B15" s="137">
        <v>45929.0</v>
      </c>
      <c r="C15" s="144"/>
      <c r="D15" s="138">
        <f t="shared" si="1"/>
        <v>119.3</v>
      </c>
      <c r="E15" s="138">
        <f t="shared" si="2"/>
        <v>238.7</v>
      </c>
      <c r="F15" s="139">
        <f t="shared" si="3"/>
        <v>358</v>
      </c>
      <c r="G15" s="138">
        <f t="shared" si="4"/>
        <v>11695.2</v>
      </c>
    </row>
    <row r="16" ht="14.25" customHeight="1">
      <c r="A16" s="136">
        <v>12.0</v>
      </c>
      <c r="B16" s="137">
        <v>45959.0</v>
      </c>
      <c r="C16" s="145"/>
      <c r="D16" s="138">
        <f t="shared" si="1"/>
        <v>117</v>
      </c>
      <c r="E16" s="138">
        <f t="shared" si="2"/>
        <v>238.7</v>
      </c>
      <c r="F16" s="139">
        <f t="shared" si="3"/>
        <v>355.7</v>
      </c>
      <c r="G16" s="138">
        <f t="shared" si="4"/>
        <v>11456.5</v>
      </c>
    </row>
    <row r="17" ht="14.25" customHeight="1">
      <c r="A17" s="136">
        <v>13.0</v>
      </c>
      <c r="B17" s="137">
        <v>45990.0</v>
      </c>
      <c r="C17" s="145"/>
      <c r="D17" s="138">
        <f t="shared" si="1"/>
        <v>114.6</v>
      </c>
      <c r="E17" s="138">
        <f t="shared" si="2"/>
        <v>238.7</v>
      </c>
      <c r="F17" s="139">
        <f t="shared" si="3"/>
        <v>353.3</v>
      </c>
      <c r="G17" s="138">
        <f t="shared" si="4"/>
        <v>11217.8</v>
      </c>
    </row>
    <row r="18" ht="14.25" customHeight="1">
      <c r="A18" s="136">
        <v>14.0</v>
      </c>
      <c r="B18" s="137">
        <v>46020.0</v>
      </c>
      <c r="C18" s="145"/>
      <c r="D18" s="138">
        <f t="shared" si="1"/>
        <v>112.2</v>
      </c>
      <c r="E18" s="138">
        <f t="shared" si="2"/>
        <v>238.7</v>
      </c>
      <c r="F18" s="139">
        <f t="shared" si="3"/>
        <v>350.9</v>
      </c>
      <c r="G18" s="138">
        <f t="shared" si="4"/>
        <v>10979.1</v>
      </c>
      <c r="I18" s="165" t="s">
        <v>328</v>
      </c>
      <c r="J18" s="153">
        <f>SUM(D5:D19)</f>
        <v>1897.5</v>
      </c>
    </row>
    <row r="19" ht="14.25" customHeight="1">
      <c r="A19" s="154">
        <v>15.0</v>
      </c>
      <c r="B19" s="155">
        <v>46051.0</v>
      </c>
      <c r="C19" s="156"/>
      <c r="D19" s="157">
        <f t="shared" si="1"/>
        <v>109.8</v>
      </c>
      <c r="E19" s="157">
        <f t="shared" si="2"/>
        <v>238.7</v>
      </c>
      <c r="F19" s="157">
        <f t="shared" si="3"/>
        <v>348.5</v>
      </c>
      <c r="G19" s="157">
        <f t="shared" si="4"/>
        <v>10740.4</v>
      </c>
      <c r="I19" s="165" t="s">
        <v>209</v>
      </c>
      <c r="J19" s="153">
        <f>G19</f>
        <v>10740.4</v>
      </c>
    </row>
    <row r="20" ht="14.25" hidden="1" customHeight="1">
      <c r="A20" s="131">
        <v>16.0</v>
      </c>
      <c r="B20" s="132">
        <v>46081.0</v>
      </c>
      <c r="C20" s="146"/>
      <c r="D20" s="135">
        <f t="shared" si="1"/>
        <v>107.4</v>
      </c>
      <c r="E20" s="135">
        <f t="shared" si="2"/>
        <v>238.7</v>
      </c>
      <c r="F20" s="133">
        <f t="shared" si="3"/>
        <v>346.1</v>
      </c>
      <c r="G20" s="135">
        <f t="shared" si="4"/>
        <v>10501.7</v>
      </c>
    </row>
    <row r="21" ht="14.25" hidden="1" customHeight="1">
      <c r="A21" s="131">
        <v>17.0</v>
      </c>
      <c r="B21" s="132">
        <v>46110.0</v>
      </c>
      <c r="C21" s="146"/>
      <c r="D21" s="135">
        <f t="shared" si="1"/>
        <v>105</v>
      </c>
      <c r="E21" s="135">
        <f t="shared" si="2"/>
        <v>238.7</v>
      </c>
      <c r="F21" s="133">
        <f t="shared" si="3"/>
        <v>343.7</v>
      </c>
      <c r="G21" s="135">
        <f t="shared" si="4"/>
        <v>10263</v>
      </c>
    </row>
    <row r="22" ht="14.25" hidden="1" customHeight="1">
      <c r="A22" s="131">
        <v>18.0</v>
      </c>
      <c r="B22" s="132">
        <v>46141.0</v>
      </c>
      <c r="C22" s="146"/>
      <c r="D22" s="135">
        <f t="shared" si="1"/>
        <v>102.6</v>
      </c>
      <c r="E22" s="135">
        <f t="shared" si="2"/>
        <v>238.7</v>
      </c>
      <c r="F22" s="133">
        <f t="shared" si="3"/>
        <v>341.3</v>
      </c>
      <c r="G22" s="135">
        <f t="shared" si="4"/>
        <v>10024.3</v>
      </c>
    </row>
    <row r="23" ht="14.25" hidden="1" customHeight="1">
      <c r="A23" s="131">
        <v>19.0</v>
      </c>
      <c r="B23" s="132">
        <v>46171.0</v>
      </c>
      <c r="C23" s="146"/>
      <c r="D23" s="135">
        <f t="shared" si="1"/>
        <v>100.2</v>
      </c>
      <c r="E23" s="135">
        <f t="shared" si="2"/>
        <v>238.7</v>
      </c>
      <c r="F23" s="133">
        <f t="shared" si="3"/>
        <v>338.9</v>
      </c>
      <c r="G23" s="135">
        <f t="shared" si="4"/>
        <v>9785.6</v>
      </c>
    </row>
    <row r="24" ht="14.25" hidden="1" customHeight="1">
      <c r="A24" s="131">
        <v>20.0</v>
      </c>
      <c r="B24" s="132">
        <v>46202.0</v>
      </c>
      <c r="C24" s="146"/>
      <c r="D24" s="135">
        <f t="shared" si="1"/>
        <v>97.9</v>
      </c>
      <c r="E24" s="135">
        <f t="shared" si="2"/>
        <v>238.7</v>
      </c>
      <c r="F24" s="133">
        <f t="shared" si="3"/>
        <v>336.6</v>
      </c>
      <c r="G24" s="135">
        <f t="shared" si="4"/>
        <v>9546.9</v>
      </c>
    </row>
    <row r="25" ht="14.25" hidden="1" customHeight="1">
      <c r="A25" s="131">
        <v>21.0</v>
      </c>
      <c r="B25" s="132">
        <v>46232.0</v>
      </c>
      <c r="C25" s="146"/>
      <c r="D25" s="135">
        <f t="shared" si="1"/>
        <v>95.5</v>
      </c>
      <c r="E25" s="135">
        <f t="shared" si="2"/>
        <v>238.7</v>
      </c>
      <c r="F25" s="133">
        <f t="shared" si="3"/>
        <v>334.2</v>
      </c>
      <c r="G25" s="135">
        <f t="shared" si="4"/>
        <v>9308.2</v>
      </c>
    </row>
    <row r="26" ht="14.25" hidden="1" customHeight="1">
      <c r="A26" s="131">
        <v>22.0</v>
      </c>
      <c r="B26" s="132">
        <v>46263.0</v>
      </c>
      <c r="C26" s="146"/>
      <c r="D26" s="135">
        <f t="shared" si="1"/>
        <v>93.1</v>
      </c>
      <c r="E26" s="135">
        <f t="shared" si="2"/>
        <v>238.7</v>
      </c>
      <c r="F26" s="133">
        <f t="shared" si="3"/>
        <v>331.8</v>
      </c>
      <c r="G26" s="135">
        <f t="shared" si="4"/>
        <v>9069.5</v>
      </c>
    </row>
    <row r="27" ht="14.25" hidden="1" customHeight="1">
      <c r="A27" s="131">
        <v>23.0</v>
      </c>
      <c r="B27" s="132">
        <v>46294.0</v>
      </c>
      <c r="C27" s="146"/>
      <c r="D27" s="135">
        <f t="shared" si="1"/>
        <v>90.7</v>
      </c>
      <c r="E27" s="135">
        <f t="shared" si="2"/>
        <v>238.7</v>
      </c>
      <c r="F27" s="133">
        <f t="shared" si="3"/>
        <v>329.4</v>
      </c>
      <c r="G27" s="135">
        <f t="shared" si="4"/>
        <v>8830.8</v>
      </c>
    </row>
    <row r="28" ht="14.25" hidden="1" customHeight="1">
      <c r="A28" s="131">
        <v>24.0</v>
      </c>
      <c r="B28" s="132">
        <v>46324.0</v>
      </c>
      <c r="C28" s="146"/>
      <c r="D28" s="135">
        <f t="shared" si="1"/>
        <v>88.3</v>
      </c>
      <c r="E28" s="135">
        <f t="shared" si="2"/>
        <v>238.7</v>
      </c>
      <c r="F28" s="133">
        <f t="shared" si="3"/>
        <v>327</v>
      </c>
      <c r="G28" s="135">
        <f t="shared" si="4"/>
        <v>8592.1</v>
      </c>
    </row>
    <row r="29" ht="14.25" hidden="1" customHeight="1">
      <c r="A29" s="131">
        <v>25.0</v>
      </c>
      <c r="B29" s="132">
        <v>46355.0</v>
      </c>
      <c r="C29" s="146"/>
      <c r="D29" s="135">
        <f t="shared" si="1"/>
        <v>85.9</v>
      </c>
      <c r="E29" s="135">
        <f t="shared" si="2"/>
        <v>238.7</v>
      </c>
      <c r="F29" s="133">
        <f t="shared" si="3"/>
        <v>324.6</v>
      </c>
      <c r="G29" s="135">
        <f t="shared" si="4"/>
        <v>8353.4</v>
      </c>
    </row>
    <row r="30" ht="14.25" hidden="1" customHeight="1">
      <c r="A30" s="131">
        <v>26.0</v>
      </c>
      <c r="B30" s="132">
        <v>46385.0</v>
      </c>
      <c r="C30" s="146"/>
      <c r="D30" s="135">
        <f t="shared" si="1"/>
        <v>83.5</v>
      </c>
      <c r="E30" s="135">
        <f t="shared" si="2"/>
        <v>238.7</v>
      </c>
      <c r="F30" s="133">
        <f t="shared" si="3"/>
        <v>322.2</v>
      </c>
      <c r="G30" s="135">
        <f t="shared" si="4"/>
        <v>8114.7</v>
      </c>
    </row>
    <row r="31" ht="14.25" hidden="1" customHeight="1">
      <c r="A31" s="131">
        <v>27.0</v>
      </c>
      <c r="B31" s="132">
        <v>46416.0</v>
      </c>
      <c r="C31" s="146"/>
      <c r="D31" s="135">
        <f t="shared" si="1"/>
        <v>81.1</v>
      </c>
      <c r="E31" s="135">
        <f t="shared" si="2"/>
        <v>238.7</v>
      </c>
      <c r="F31" s="133">
        <f t="shared" si="3"/>
        <v>319.8</v>
      </c>
      <c r="G31" s="135">
        <f t="shared" si="4"/>
        <v>7876</v>
      </c>
    </row>
    <row r="32" ht="14.25" hidden="1" customHeight="1">
      <c r="A32" s="131">
        <v>28.0</v>
      </c>
      <c r="B32" s="132">
        <v>46446.0</v>
      </c>
      <c r="C32" s="146"/>
      <c r="D32" s="135">
        <f t="shared" si="1"/>
        <v>78.8</v>
      </c>
      <c r="E32" s="135">
        <f t="shared" si="2"/>
        <v>238.7</v>
      </c>
      <c r="F32" s="133">
        <f t="shared" si="3"/>
        <v>317.5</v>
      </c>
      <c r="G32" s="135">
        <f t="shared" si="4"/>
        <v>7637.3</v>
      </c>
    </row>
    <row r="33" ht="14.25" hidden="1" customHeight="1">
      <c r="A33" s="131">
        <v>29.0</v>
      </c>
      <c r="B33" s="132">
        <v>46475.0</v>
      </c>
      <c r="C33" s="146"/>
      <c r="D33" s="135">
        <f t="shared" si="1"/>
        <v>76.4</v>
      </c>
      <c r="E33" s="135">
        <f t="shared" si="2"/>
        <v>238.7</v>
      </c>
      <c r="F33" s="133">
        <f t="shared" si="3"/>
        <v>315.1</v>
      </c>
      <c r="G33" s="135">
        <f t="shared" si="4"/>
        <v>7398.6</v>
      </c>
    </row>
    <row r="34" ht="14.25" hidden="1" customHeight="1">
      <c r="A34" s="131">
        <v>30.0</v>
      </c>
      <c r="B34" s="132">
        <v>46506.0</v>
      </c>
      <c r="C34" s="146"/>
      <c r="D34" s="135">
        <f t="shared" si="1"/>
        <v>74</v>
      </c>
      <c r="E34" s="135">
        <f t="shared" si="2"/>
        <v>238.7</v>
      </c>
      <c r="F34" s="133">
        <f t="shared" si="3"/>
        <v>312.7</v>
      </c>
      <c r="G34" s="135">
        <f t="shared" si="4"/>
        <v>7159.9</v>
      </c>
    </row>
    <row r="35" ht="14.25" hidden="1" customHeight="1">
      <c r="A35" s="131">
        <v>31.0</v>
      </c>
      <c r="B35" s="132">
        <v>46536.0</v>
      </c>
      <c r="C35" s="146"/>
      <c r="D35" s="135">
        <f t="shared" si="1"/>
        <v>71.6</v>
      </c>
      <c r="E35" s="135">
        <f t="shared" si="2"/>
        <v>238.7</v>
      </c>
      <c r="F35" s="133">
        <f t="shared" si="3"/>
        <v>310.3</v>
      </c>
      <c r="G35" s="135">
        <f t="shared" si="4"/>
        <v>6921.2</v>
      </c>
    </row>
    <row r="36" ht="14.25" hidden="1" customHeight="1">
      <c r="A36" s="131">
        <v>32.0</v>
      </c>
      <c r="B36" s="132">
        <v>46567.0</v>
      </c>
      <c r="C36" s="146"/>
      <c r="D36" s="135">
        <f t="shared" si="1"/>
        <v>69.2</v>
      </c>
      <c r="E36" s="135">
        <f t="shared" si="2"/>
        <v>238.7</v>
      </c>
      <c r="F36" s="133">
        <f t="shared" si="3"/>
        <v>307.9</v>
      </c>
      <c r="G36" s="135">
        <f t="shared" si="4"/>
        <v>6682.5</v>
      </c>
    </row>
    <row r="37" ht="14.25" hidden="1" customHeight="1">
      <c r="A37" s="131">
        <v>33.0</v>
      </c>
      <c r="B37" s="132">
        <v>46597.0</v>
      </c>
      <c r="C37" s="146"/>
      <c r="D37" s="135">
        <f t="shared" si="1"/>
        <v>66.8</v>
      </c>
      <c r="E37" s="135">
        <f t="shared" si="2"/>
        <v>238.7</v>
      </c>
      <c r="F37" s="133">
        <f t="shared" si="3"/>
        <v>305.5</v>
      </c>
      <c r="G37" s="135">
        <f t="shared" si="4"/>
        <v>6443.8</v>
      </c>
    </row>
    <row r="38" ht="14.25" hidden="1" customHeight="1">
      <c r="A38" s="131">
        <v>34.0</v>
      </c>
      <c r="B38" s="132">
        <v>46628.0</v>
      </c>
      <c r="C38" s="146"/>
      <c r="D38" s="135">
        <f t="shared" si="1"/>
        <v>64.4</v>
      </c>
      <c r="E38" s="135">
        <f t="shared" si="2"/>
        <v>238.7</v>
      </c>
      <c r="F38" s="133">
        <f t="shared" si="3"/>
        <v>303.1</v>
      </c>
      <c r="G38" s="135">
        <f t="shared" si="4"/>
        <v>6205.1</v>
      </c>
    </row>
    <row r="39" ht="14.25" hidden="1" customHeight="1">
      <c r="A39" s="131">
        <v>35.0</v>
      </c>
      <c r="B39" s="132">
        <v>46659.0</v>
      </c>
      <c r="C39" s="146"/>
      <c r="D39" s="135">
        <f t="shared" si="1"/>
        <v>62.1</v>
      </c>
      <c r="E39" s="135">
        <f t="shared" si="2"/>
        <v>238.7</v>
      </c>
      <c r="F39" s="133">
        <f t="shared" si="3"/>
        <v>300.8</v>
      </c>
      <c r="G39" s="135">
        <f t="shared" si="4"/>
        <v>5966.4</v>
      </c>
    </row>
    <row r="40" ht="14.25" hidden="1" customHeight="1">
      <c r="A40" s="131">
        <v>36.0</v>
      </c>
      <c r="B40" s="132">
        <v>46689.0</v>
      </c>
      <c r="C40" s="146"/>
      <c r="D40" s="135">
        <f t="shared" si="1"/>
        <v>59.7</v>
      </c>
      <c r="E40" s="135">
        <f t="shared" si="2"/>
        <v>238.7</v>
      </c>
      <c r="F40" s="133">
        <f t="shared" si="3"/>
        <v>298.4</v>
      </c>
      <c r="G40" s="135">
        <f t="shared" si="4"/>
        <v>5727.7</v>
      </c>
    </row>
    <row r="41" ht="14.25" hidden="1" customHeight="1">
      <c r="A41" s="131">
        <v>37.0</v>
      </c>
      <c r="B41" s="132">
        <v>46720.0</v>
      </c>
      <c r="C41" s="146"/>
      <c r="D41" s="135">
        <f t="shared" si="1"/>
        <v>57.3</v>
      </c>
      <c r="E41" s="135">
        <f t="shared" si="2"/>
        <v>238.7</v>
      </c>
      <c r="F41" s="133">
        <f t="shared" si="3"/>
        <v>296</v>
      </c>
      <c r="G41" s="135">
        <f t="shared" si="4"/>
        <v>5489</v>
      </c>
    </row>
    <row r="42" ht="14.25" hidden="1" customHeight="1">
      <c r="A42" s="131">
        <v>38.0</v>
      </c>
      <c r="B42" s="132">
        <v>46750.0</v>
      </c>
      <c r="C42" s="146"/>
      <c r="D42" s="135">
        <f t="shared" si="1"/>
        <v>54.9</v>
      </c>
      <c r="E42" s="135">
        <f t="shared" si="2"/>
        <v>238.7</v>
      </c>
      <c r="F42" s="133">
        <f t="shared" si="3"/>
        <v>293.6</v>
      </c>
      <c r="G42" s="135">
        <f t="shared" si="4"/>
        <v>5250.3</v>
      </c>
    </row>
    <row r="43" ht="14.25" hidden="1" customHeight="1">
      <c r="A43" s="131">
        <v>39.0</v>
      </c>
      <c r="B43" s="132">
        <v>46781.0</v>
      </c>
      <c r="C43" s="146"/>
      <c r="D43" s="135">
        <f t="shared" si="1"/>
        <v>52.5</v>
      </c>
      <c r="E43" s="135">
        <f t="shared" si="2"/>
        <v>238.7</v>
      </c>
      <c r="F43" s="133">
        <f t="shared" si="3"/>
        <v>291.2</v>
      </c>
      <c r="G43" s="135">
        <f t="shared" si="4"/>
        <v>5011.6</v>
      </c>
    </row>
    <row r="44" ht="14.25" hidden="1" customHeight="1">
      <c r="A44" s="131">
        <v>40.0</v>
      </c>
      <c r="B44" s="132">
        <v>46812.0</v>
      </c>
      <c r="C44" s="146"/>
      <c r="D44" s="135">
        <f t="shared" si="1"/>
        <v>50.1</v>
      </c>
      <c r="E44" s="135">
        <f t="shared" si="2"/>
        <v>238.7</v>
      </c>
      <c r="F44" s="133">
        <f t="shared" si="3"/>
        <v>288.8</v>
      </c>
      <c r="G44" s="135">
        <f t="shared" si="4"/>
        <v>4772.9</v>
      </c>
    </row>
    <row r="45" ht="14.25" hidden="1" customHeight="1">
      <c r="A45" s="131">
        <v>41.0</v>
      </c>
      <c r="B45" s="132">
        <v>46841.0</v>
      </c>
      <c r="C45" s="146"/>
      <c r="D45" s="135">
        <f t="shared" si="1"/>
        <v>47.7</v>
      </c>
      <c r="E45" s="135">
        <f t="shared" si="2"/>
        <v>238.7</v>
      </c>
      <c r="F45" s="133">
        <f t="shared" si="3"/>
        <v>286.4</v>
      </c>
      <c r="G45" s="135">
        <f t="shared" si="4"/>
        <v>4534.2</v>
      </c>
    </row>
    <row r="46" ht="14.25" hidden="1" customHeight="1">
      <c r="A46" s="131">
        <v>42.0</v>
      </c>
      <c r="B46" s="132">
        <v>46872.0</v>
      </c>
      <c r="C46" s="146"/>
      <c r="D46" s="135">
        <f t="shared" si="1"/>
        <v>45.3</v>
      </c>
      <c r="E46" s="135">
        <f t="shared" si="2"/>
        <v>238.7</v>
      </c>
      <c r="F46" s="133">
        <f t="shared" si="3"/>
        <v>284</v>
      </c>
      <c r="G46" s="135">
        <f t="shared" si="4"/>
        <v>4295.5</v>
      </c>
    </row>
    <row r="47" ht="14.25" hidden="1" customHeight="1">
      <c r="A47" s="131">
        <v>43.0</v>
      </c>
      <c r="B47" s="132">
        <v>46902.0</v>
      </c>
      <c r="C47" s="146"/>
      <c r="D47" s="135">
        <f t="shared" si="1"/>
        <v>43</v>
      </c>
      <c r="E47" s="135">
        <f t="shared" si="2"/>
        <v>238.7</v>
      </c>
      <c r="F47" s="133">
        <f t="shared" si="3"/>
        <v>281.7</v>
      </c>
      <c r="G47" s="135">
        <f t="shared" si="4"/>
        <v>4056.8</v>
      </c>
    </row>
    <row r="48" ht="14.25" hidden="1" customHeight="1">
      <c r="A48" s="131">
        <v>44.0</v>
      </c>
      <c r="B48" s="132">
        <v>46933.0</v>
      </c>
      <c r="C48" s="146"/>
      <c r="D48" s="135">
        <f t="shared" si="1"/>
        <v>40.6</v>
      </c>
      <c r="E48" s="135">
        <f t="shared" si="2"/>
        <v>238.7</v>
      </c>
      <c r="F48" s="133">
        <f t="shared" si="3"/>
        <v>279.3</v>
      </c>
      <c r="G48" s="135">
        <f t="shared" si="4"/>
        <v>3818.1</v>
      </c>
    </row>
    <row r="49" ht="14.25" hidden="1" customHeight="1">
      <c r="A49" s="131">
        <v>45.0</v>
      </c>
      <c r="B49" s="132">
        <v>46963.0</v>
      </c>
      <c r="C49" s="146"/>
      <c r="D49" s="135">
        <f t="shared" si="1"/>
        <v>38.2</v>
      </c>
      <c r="E49" s="135">
        <f t="shared" si="2"/>
        <v>238.7</v>
      </c>
      <c r="F49" s="133">
        <f t="shared" si="3"/>
        <v>276.9</v>
      </c>
      <c r="G49" s="135">
        <f t="shared" si="4"/>
        <v>3579.4</v>
      </c>
    </row>
    <row r="50" ht="14.25" hidden="1" customHeight="1">
      <c r="A50" s="131">
        <v>46.0</v>
      </c>
      <c r="B50" s="132">
        <v>46994.0</v>
      </c>
      <c r="C50" s="146"/>
      <c r="D50" s="135">
        <f t="shared" si="1"/>
        <v>35.8</v>
      </c>
      <c r="E50" s="135">
        <f t="shared" si="2"/>
        <v>238.7</v>
      </c>
      <c r="F50" s="133">
        <f t="shared" si="3"/>
        <v>274.5</v>
      </c>
      <c r="G50" s="135">
        <f t="shared" si="4"/>
        <v>3340.7</v>
      </c>
    </row>
    <row r="51" ht="14.25" hidden="1" customHeight="1">
      <c r="A51" s="131">
        <v>47.0</v>
      </c>
      <c r="B51" s="132">
        <v>47025.0</v>
      </c>
      <c r="C51" s="146"/>
      <c r="D51" s="135">
        <f t="shared" si="1"/>
        <v>33.4</v>
      </c>
      <c r="E51" s="135">
        <f t="shared" si="2"/>
        <v>238.7</v>
      </c>
      <c r="F51" s="133">
        <f t="shared" si="3"/>
        <v>272.1</v>
      </c>
      <c r="G51" s="135">
        <f t="shared" si="4"/>
        <v>3102</v>
      </c>
    </row>
    <row r="52" ht="14.25" hidden="1" customHeight="1">
      <c r="A52" s="131">
        <v>48.0</v>
      </c>
      <c r="B52" s="132">
        <v>47055.0</v>
      </c>
      <c r="C52" s="146"/>
      <c r="D52" s="135">
        <f t="shared" si="1"/>
        <v>31</v>
      </c>
      <c r="E52" s="135">
        <f t="shared" si="2"/>
        <v>238.7</v>
      </c>
      <c r="F52" s="133">
        <f t="shared" si="3"/>
        <v>269.7</v>
      </c>
      <c r="G52" s="135">
        <f t="shared" si="4"/>
        <v>2863.3</v>
      </c>
    </row>
    <row r="53" ht="14.25" hidden="1" customHeight="1">
      <c r="A53" s="131">
        <v>49.0</v>
      </c>
      <c r="B53" s="132">
        <v>47086.0</v>
      </c>
      <c r="C53" s="146"/>
      <c r="D53" s="135">
        <f t="shared" si="1"/>
        <v>28.6</v>
      </c>
      <c r="E53" s="135">
        <f t="shared" si="2"/>
        <v>238.7</v>
      </c>
      <c r="F53" s="133">
        <f t="shared" si="3"/>
        <v>267.3</v>
      </c>
      <c r="G53" s="135">
        <f t="shared" si="4"/>
        <v>2624.6</v>
      </c>
    </row>
    <row r="54" ht="14.25" hidden="1" customHeight="1">
      <c r="A54" s="131">
        <v>50.0</v>
      </c>
      <c r="B54" s="132">
        <v>47116.0</v>
      </c>
      <c r="C54" s="146"/>
      <c r="D54" s="135">
        <f t="shared" si="1"/>
        <v>26.2</v>
      </c>
      <c r="E54" s="135">
        <f t="shared" si="2"/>
        <v>238.7</v>
      </c>
      <c r="F54" s="133">
        <f t="shared" si="3"/>
        <v>264.9</v>
      </c>
      <c r="G54" s="135">
        <f t="shared" si="4"/>
        <v>2385.9</v>
      </c>
    </row>
    <row r="55" ht="14.25" hidden="1" customHeight="1">
      <c r="A55" s="131">
        <v>51.0</v>
      </c>
      <c r="B55" s="132">
        <v>47147.0</v>
      </c>
      <c r="C55" s="146"/>
      <c r="D55" s="135">
        <f t="shared" si="1"/>
        <v>23.9</v>
      </c>
      <c r="E55" s="135">
        <f t="shared" si="2"/>
        <v>238.7</v>
      </c>
      <c r="F55" s="133">
        <f t="shared" si="3"/>
        <v>262.6</v>
      </c>
      <c r="G55" s="135">
        <f t="shared" si="4"/>
        <v>2147.2</v>
      </c>
    </row>
    <row r="56" ht="14.25" hidden="1" customHeight="1">
      <c r="A56" s="131">
        <v>52.0</v>
      </c>
      <c r="B56" s="132">
        <v>47177.0</v>
      </c>
      <c r="C56" s="146"/>
      <c r="D56" s="135">
        <f t="shared" si="1"/>
        <v>21.5</v>
      </c>
      <c r="E56" s="135">
        <f t="shared" si="2"/>
        <v>238.7</v>
      </c>
      <c r="F56" s="133">
        <f t="shared" si="3"/>
        <v>260.2</v>
      </c>
      <c r="G56" s="135">
        <f t="shared" si="4"/>
        <v>1908.5</v>
      </c>
    </row>
    <row r="57" ht="14.25" hidden="1" customHeight="1">
      <c r="A57" s="131">
        <v>53.0</v>
      </c>
      <c r="B57" s="132">
        <v>47206.0</v>
      </c>
      <c r="C57" s="146"/>
      <c r="D57" s="135">
        <f t="shared" si="1"/>
        <v>19.1</v>
      </c>
      <c r="E57" s="135">
        <f t="shared" si="2"/>
        <v>238.7</v>
      </c>
      <c r="F57" s="133">
        <f t="shared" si="3"/>
        <v>257.8</v>
      </c>
      <c r="G57" s="135">
        <f t="shared" si="4"/>
        <v>1669.8</v>
      </c>
    </row>
    <row r="58" ht="14.25" hidden="1" customHeight="1">
      <c r="A58" s="131">
        <v>54.0</v>
      </c>
      <c r="B58" s="132">
        <v>47237.0</v>
      </c>
      <c r="C58" s="146"/>
      <c r="D58" s="135">
        <f t="shared" si="1"/>
        <v>16.7</v>
      </c>
      <c r="E58" s="135">
        <f t="shared" si="2"/>
        <v>238.7</v>
      </c>
      <c r="F58" s="133">
        <f t="shared" si="3"/>
        <v>255.4</v>
      </c>
      <c r="G58" s="135">
        <f t="shared" si="4"/>
        <v>1431.1</v>
      </c>
    </row>
    <row r="59" ht="14.25" hidden="1" customHeight="1">
      <c r="A59" s="131">
        <v>55.0</v>
      </c>
      <c r="B59" s="132">
        <v>47267.0</v>
      </c>
      <c r="C59" s="146"/>
      <c r="D59" s="135">
        <f t="shared" si="1"/>
        <v>14.3</v>
      </c>
      <c r="E59" s="135">
        <f t="shared" si="2"/>
        <v>238.7</v>
      </c>
      <c r="F59" s="133">
        <f t="shared" si="3"/>
        <v>253</v>
      </c>
      <c r="G59" s="135">
        <f t="shared" si="4"/>
        <v>1192.4</v>
      </c>
    </row>
    <row r="60" ht="14.25" hidden="1" customHeight="1">
      <c r="A60" s="131">
        <v>56.0</v>
      </c>
      <c r="B60" s="132">
        <v>47298.0</v>
      </c>
      <c r="C60" s="146"/>
      <c r="D60" s="135">
        <f t="shared" si="1"/>
        <v>11.9</v>
      </c>
      <c r="E60" s="135">
        <f t="shared" si="2"/>
        <v>238.7</v>
      </c>
      <c r="F60" s="133">
        <f t="shared" si="3"/>
        <v>250.6</v>
      </c>
      <c r="G60" s="135">
        <f t="shared" si="4"/>
        <v>953.7</v>
      </c>
    </row>
    <row r="61" ht="14.25" hidden="1" customHeight="1">
      <c r="A61" s="131">
        <v>57.0</v>
      </c>
      <c r="B61" s="132">
        <v>47328.0</v>
      </c>
      <c r="C61" s="146"/>
      <c r="D61" s="135">
        <f t="shared" si="1"/>
        <v>9.5</v>
      </c>
      <c r="E61" s="135">
        <f t="shared" si="2"/>
        <v>238.7</v>
      </c>
      <c r="F61" s="133">
        <f t="shared" si="3"/>
        <v>248.2</v>
      </c>
      <c r="G61" s="135">
        <f t="shared" si="4"/>
        <v>715</v>
      </c>
    </row>
    <row r="62" ht="14.25" hidden="1" customHeight="1">
      <c r="A62" s="131">
        <v>58.0</v>
      </c>
      <c r="B62" s="132">
        <v>47359.0</v>
      </c>
      <c r="C62" s="146"/>
      <c r="D62" s="135">
        <f t="shared" si="1"/>
        <v>7.2</v>
      </c>
      <c r="E62" s="135">
        <f t="shared" si="2"/>
        <v>238.7</v>
      </c>
      <c r="F62" s="133">
        <f t="shared" si="3"/>
        <v>245.9</v>
      </c>
      <c r="G62" s="135">
        <f t="shared" si="4"/>
        <v>476.3</v>
      </c>
    </row>
    <row r="63" ht="14.25" hidden="1" customHeight="1">
      <c r="A63" s="131">
        <v>59.0</v>
      </c>
      <c r="B63" s="132">
        <v>47390.0</v>
      </c>
      <c r="C63" s="146"/>
      <c r="D63" s="135">
        <f t="shared" si="1"/>
        <v>4.8</v>
      </c>
      <c r="E63" s="135">
        <f t="shared" si="2"/>
        <v>238.7</v>
      </c>
      <c r="F63" s="133">
        <f t="shared" si="3"/>
        <v>243.5</v>
      </c>
      <c r="G63" s="135">
        <f t="shared" si="4"/>
        <v>237.6</v>
      </c>
    </row>
    <row r="64" ht="14.25" hidden="1" customHeight="1">
      <c r="A64" s="131">
        <v>60.0</v>
      </c>
      <c r="B64" s="132">
        <v>47420.0</v>
      </c>
      <c r="C64" s="146"/>
      <c r="D64" s="135">
        <f t="shared" si="1"/>
        <v>2.4</v>
      </c>
      <c r="E64" s="135">
        <f>ROUNDUP($C$4/60,1)-1.1</f>
        <v>237.6</v>
      </c>
      <c r="F64" s="133">
        <f t="shared" si="3"/>
        <v>240</v>
      </c>
      <c r="G64" s="135">
        <f t="shared" si="4"/>
        <v>0</v>
      </c>
    </row>
    <row r="65" ht="14.25" customHeight="1">
      <c r="A65" s="129" t="s">
        <v>252</v>
      </c>
      <c r="B65" s="2"/>
      <c r="C65" s="3"/>
      <c r="D65" s="147">
        <f t="shared" ref="D65:F65" si="5">+SUM(D5:D64)</f>
        <v>4367.6</v>
      </c>
      <c r="E65" s="147">
        <f t="shared" si="5"/>
        <v>14320.9</v>
      </c>
      <c r="F65" s="147">
        <f t="shared" si="5"/>
        <v>18688.5</v>
      </c>
      <c r="G65" s="148"/>
    </row>
    <row r="66" ht="14.25" customHeight="1"/>
    <row r="67" ht="14.25" customHeight="1">
      <c r="A67" s="128" t="s">
        <v>352</v>
      </c>
      <c r="B67" s="2"/>
      <c r="C67" s="2"/>
      <c r="D67" s="2"/>
      <c r="E67" s="2"/>
      <c r="F67" s="2"/>
      <c r="G67" s="3"/>
    </row>
    <row r="68" ht="14.25" customHeight="1">
      <c r="A68" s="129" t="s">
        <v>353</v>
      </c>
      <c r="B68" s="2"/>
      <c r="C68" s="2"/>
      <c r="D68" s="2"/>
      <c r="E68" s="2"/>
      <c r="F68" s="2"/>
      <c r="G68" s="3"/>
    </row>
    <row r="69" ht="14.25" customHeight="1">
      <c r="A69" s="130" t="s">
        <v>326</v>
      </c>
      <c r="B69" s="130" t="s">
        <v>256</v>
      </c>
      <c r="C69" s="130" t="s">
        <v>327</v>
      </c>
      <c r="D69" s="130" t="s">
        <v>328</v>
      </c>
      <c r="E69" s="130" t="s">
        <v>329</v>
      </c>
      <c r="F69" s="130" t="s">
        <v>330</v>
      </c>
      <c r="G69" s="130" t="s">
        <v>209</v>
      </c>
    </row>
    <row r="70" ht="14.25" customHeight="1">
      <c r="A70" s="131">
        <v>0.0</v>
      </c>
      <c r="B70" s="132">
        <v>45686.0</v>
      </c>
      <c r="C70" s="133">
        <f>+J73</f>
        <v>25740.4</v>
      </c>
      <c r="D70" s="134">
        <v>0.01</v>
      </c>
      <c r="E70" s="135"/>
      <c r="F70" s="135"/>
      <c r="G70" s="135">
        <f>+C70</f>
        <v>25740.4</v>
      </c>
    </row>
    <row r="71" ht="14.25" customHeight="1">
      <c r="A71" s="136">
        <v>1.0</v>
      </c>
      <c r="B71" s="137">
        <v>45716.0</v>
      </c>
      <c r="C71" s="145"/>
      <c r="D71" s="138">
        <f t="shared" ref="D71:D82" si="6">+ROUND(G70*0.01,1)</f>
        <v>257.4</v>
      </c>
      <c r="E71" s="138">
        <f t="shared" ref="E71:E81" si="7">ROUND($C$70/12,1)</f>
        <v>2145</v>
      </c>
      <c r="F71" s="139">
        <f t="shared" ref="F71:F82" si="8">+ROUND(D71+E71,1)</f>
        <v>2402.4</v>
      </c>
      <c r="G71" s="138">
        <f t="shared" ref="G71:G82" si="9">+ROUND(G70-E71,1)</f>
        <v>23595.4</v>
      </c>
      <c r="I71" s="165" t="s">
        <v>209</v>
      </c>
      <c r="J71" s="141">
        <f>G19</f>
        <v>10740.4</v>
      </c>
    </row>
    <row r="72" ht="14.25" customHeight="1">
      <c r="A72" s="131">
        <v>2.0</v>
      </c>
      <c r="B72" s="132">
        <v>45745.0</v>
      </c>
      <c r="C72" s="146"/>
      <c r="D72" s="135">
        <f t="shared" si="6"/>
        <v>236</v>
      </c>
      <c r="E72" s="135">
        <f t="shared" si="7"/>
        <v>2145</v>
      </c>
      <c r="F72" s="133">
        <f t="shared" si="8"/>
        <v>2381</v>
      </c>
      <c r="G72" s="135">
        <f t="shared" si="9"/>
        <v>21450.4</v>
      </c>
      <c r="I72" s="165" t="s">
        <v>331</v>
      </c>
      <c r="J72" s="151">
        <v>15000.0</v>
      </c>
    </row>
    <row r="73" ht="14.25" customHeight="1">
      <c r="A73" s="131">
        <v>3.0</v>
      </c>
      <c r="B73" s="132">
        <v>45776.0</v>
      </c>
      <c r="C73" s="146"/>
      <c r="D73" s="135">
        <f t="shared" si="6"/>
        <v>214.5</v>
      </c>
      <c r="E73" s="135">
        <f t="shared" si="7"/>
        <v>2145</v>
      </c>
      <c r="F73" s="133">
        <f t="shared" si="8"/>
        <v>2359.5</v>
      </c>
      <c r="G73" s="135">
        <f t="shared" si="9"/>
        <v>19305.4</v>
      </c>
      <c r="I73" s="142" t="s">
        <v>252</v>
      </c>
      <c r="J73" s="143">
        <f>+SUM(J71:J72)</f>
        <v>25740.4</v>
      </c>
    </row>
    <row r="74" ht="14.25" customHeight="1">
      <c r="A74" s="131">
        <v>4.0</v>
      </c>
      <c r="B74" s="132">
        <v>45806.0</v>
      </c>
      <c r="C74" s="146"/>
      <c r="D74" s="135">
        <f t="shared" si="6"/>
        <v>193.1</v>
      </c>
      <c r="E74" s="135">
        <f t="shared" si="7"/>
        <v>2145</v>
      </c>
      <c r="F74" s="133">
        <f t="shared" si="8"/>
        <v>2338.1</v>
      </c>
      <c r="G74" s="135">
        <f t="shared" si="9"/>
        <v>17160.4</v>
      </c>
    </row>
    <row r="75" ht="14.25" customHeight="1">
      <c r="A75" s="131">
        <v>5.0</v>
      </c>
      <c r="B75" s="132">
        <v>45837.0</v>
      </c>
      <c r="C75" s="146"/>
      <c r="D75" s="135">
        <f t="shared" si="6"/>
        <v>171.6</v>
      </c>
      <c r="E75" s="135">
        <f t="shared" si="7"/>
        <v>2145</v>
      </c>
      <c r="F75" s="133">
        <f t="shared" si="8"/>
        <v>2316.6</v>
      </c>
      <c r="G75" s="135">
        <f t="shared" si="9"/>
        <v>15015.4</v>
      </c>
    </row>
    <row r="76" ht="14.25" customHeight="1">
      <c r="A76" s="131">
        <v>6.0</v>
      </c>
      <c r="B76" s="132">
        <v>45867.0</v>
      </c>
      <c r="C76" s="146"/>
      <c r="D76" s="135">
        <f t="shared" si="6"/>
        <v>150.2</v>
      </c>
      <c r="E76" s="135">
        <f t="shared" si="7"/>
        <v>2145</v>
      </c>
      <c r="F76" s="133">
        <f t="shared" si="8"/>
        <v>2295.2</v>
      </c>
      <c r="G76" s="135">
        <f t="shared" si="9"/>
        <v>12870.4</v>
      </c>
    </row>
    <row r="77" ht="14.25" customHeight="1">
      <c r="A77" s="131">
        <v>7.0</v>
      </c>
      <c r="B77" s="132">
        <v>45898.0</v>
      </c>
      <c r="C77" s="146"/>
      <c r="D77" s="135">
        <f t="shared" si="6"/>
        <v>128.7</v>
      </c>
      <c r="E77" s="135">
        <f t="shared" si="7"/>
        <v>2145</v>
      </c>
      <c r="F77" s="133">
        <f t="shared" si="8"/>
        <v>2273.7</v>
      </c>
      <c r="G77" s="135">
        <f t="shared" si="9"/>
        <v>10725.4</v>
      </c>
    </row>
    <row r="78" ht="14.25" customHeight="1">
      <c r="A78" s="131">
        <v>8.0</v>
      </c>
      <c r="B78" s="132">
        <v>45929.0</v>
      </c>
      <c r="C78" s="146"/>
      <c r="D78" s="135">
        <f t="shared" si="6"/>
        <v>107.3</v>
      </c>
      <c r="E78" s="135">
        <f t="shared" si="7"/>
        <v>2145</v>
      </c>
      <c r="F78" s="133">
        <f t="shared" si="8"/>
        <v>2252.3</v>
      </c>
      <c r="G78" s="135">
        <f t="shared" si="9"/>
        <v>8580.4</v>
      </c>
    </row>
    <row r="79" ht="14.25" customHeight="1">
      <c r="A79" s="131">
        <v>9.0</v>
      </c>
      <c r="B79" s="132">
        <v>45959.0</v>
      </c>
      <c r="C79" s="146"/>
      <c r="D79" s="135">
        <f t="shared" si="6"/>
        <v>85.8</v>
      </c>
      <c r="E79" s="135">
        <f t="shared" si="7"/>
        <v>2145</v>
      </c>
      <c r="F79" s="133">
        <f t="shared" si="8"/>
        <v>2230.8</v>
      </c>
      <c r="G79" s="135">
        <f t="shared" si="9"/>
        <v>6435.4</v>
      </c>
    </row>
    <row r="80" ht="14.25" customHeight="1">
      <c r="A80" s="131">
        <v>10.0</v>
      </c>
      <c r="B80" s="132">
        <v>45990.0</v>
      </c>
      <c r="C80" s="146"/>
      <c r="D80" s="135">
        <f t="shared" si="6"/>
        <v>64.4</v>
      </c>
      <c r="E80" s="135">
        <f t="shared" si="7"/>
        <v>2145</v>
      </c>
      <c r="F80" s="133">
        <f t="shared" si="8"/>
        <v>2209.4</v>
      </c>
      <c r="G80" s="135">
        <f t="shared" si="9"/>
        <v>4290.4</v>
      </c>
    </row>
    <row r="81" ht="14.25" customHeight="1">
      <c r="A81" s="131">
        <v>11.0</v>
      </c>
      <c r="B81" s="132">
        <v>46020.0</v>
      </c>
      <c r="C81" s="146"/>
      <c r="D81" s="135">
        <f t="shared" si="6"/>
        <v>42.9</v>
      </c>
      <c r="E81" s="135">
        <f t="shared" si="7"/>
        <v>2145</v>
      </c>
      <c r="F81" s="133">
        <f t="shared" si="8"/>
        <v>2187.9</v>
      </c>
      <c r="G81" s="135">
        <f t="shared" si="9"/>
        <v>2145.4</v>
      </c>
    </row>
    <row r="82" ht="14.25" customHeight="1">
      <c r="A82" s="131">
        <v>12.0</v>
      </c>
      <c r="B82" s="132">
        <v>46051.0</v>
      </c>
      <c r="C82" s="146"/>
      <c r="D82" s="135">
        <f t="shared" si="6"/>
        <v>21.5</v>
      </c>
      <c r="E82" s="135">
        <f>ROUND($C$70/12,1)+0.4</f>
        <v>2145.4</v>
      </c>
      <c r="F82" s="133">
        <f t="shared" si="8"/>
        <v>2166.9</v>
      </c>
      <c r="G82" s="135">
        <f t="shared" si="9"/>
        <v>0</v>
      </c>
    </row>
    <row r="83" ht="14.25" customHeight="1">
      <c r="A83" s="129" t="s">
        <v>252</v>
      </c>
      <c r="B83" s="2"/>
      <c r="C83" s="3"/>
      <c r="D83" s="147">
        <f t="shared" ref="D83:F83" si="10">+SUM(D71:D82)</f>
        <v>1673.4</v>
      </c>
      <c r="E83" s="147">
        <f t="shared" si="10"/>
        <v>25740.4</v>
      </c>
      <c r="F83" s="147">
        <f t="shared" si="10"/>
        <v>27413.8</v>
      </c>
      <c r="G83" s="148"/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</sheetData>
  <mergeCells count="6">
    <mergeCell ref="A1:G1"/>
    <mergeCell ref="A2:G2"/>
    <mergeCell ref="A65:C65"/>
    <mergeCell ref="A67:G67"/>
    <mergeCell ref="A68:G68"/>
    <mergeCell ref="A83:C8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354</v>
      </c>
      <c r="B1" s="2"/>
      <c r="C1" s="2"/>
      <c r="D1" s="2"/>
      <c r="E1" s="2"/>
      <c r="F1" s="2"/>
      <c r="G1" s="3"/>
    </row>
    <row r="2" ht="14.25" customHeight="1">
      <c r="A2" s="129" t="s">
        <v>355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 t="s">
        <v>231</v>
      </c>
      <c r="C4" s="133">
        <f>+J7</f>
        <v>24266</v>
      </c>
      <c r="D4" s="134">
        <v>0.01</v>
      </c>
      <c r="E4" s="135"/>
      <c r="F4" s="135"/>
      <c r="G4" s="135">
        <f>+C4</f>
        <v>24266</v>
      </c>
    </row>
    <row r="5" ht="14.25" customHeight="1">
      <c r="A5" s="136">
        <v>1.0</v>
      </c>
      <c r="B5" s="137">
        <v>45745.0</v>
      </c>
      <c r="C5" s="138"/>
      <c r="D5" s="138">
        <f t="shared" ref="D5:D88" si="1">+ROUND(G4*0.01,1)</f>
        <v>242.7</v>
      </c>
      <c r="E5" s="138">
        <f>ROUNDUP(C4/84,1)</f>
        <v>288.9</v>
      </c>
      <c r="F5" s="139">
        <f t="shared" ref="F5:F88" si="2">+ROUND(D5+E5,1)</f>
        <v>531.6</v>
      </c>
      <c r="G5" s="138">
        <f t="shared" ref="G5:G88" si="3">+ROUND(G4-E5,1)</f>
        <v>23977.1</v>
      </c>
      <c r="I5" s="140" t="s">
        <v>209</v>
      </c>
      <c r="J5" s="141">
        <v>14266.000000000004</v>
      </c>
    </row>
    <row r="6" ht="14.25" customHeight="1">
      <c r="A6" s="136">
        <v>2.0</v>
      </c>
      <c r="B6" s="137">
        <v>45776.0</v>
      </c>
      <c r="C6" s="144"/>
      <c r="D6" s="138">
        <f t="shared" si="1"/>
        <v>239.8</v>
      </c>
      <c r="E6" s="138">
        <f t="shared" ref="E6:E87" si="4">ROUNDUP($C$4/84,1)</f>
        <v>288.9</v>
      </c>
      <c r="F6" s="139">
        <f t="shared" si="2"/>
        <v>528.7</v>
      </c>
      <c r="G6" s="138">
        <f t="shared" si="3"/>
        <v>23688.2</v>
      </c>
      <c r="I6" s="140" t="s">
        <v>331</v>
      </c>
      <c r="J6" s="141">
        <v>10000.0</v>
      </c>
    </row>
    <row r="7" ht="14.25" customHeight="1">
      <c r="A7" s="136">
        <v>3.0</v>
      </c>
      <c r="B7" s="137">
        <v>45806.0</v>
      </c>
      <c r="C7" s="144"/>
      <c r="D7" s="138">
        <f t="shared" si="1"/>
        <v>236.9</v>
      </c>
      <c r="E7" s="138">
        <f t="shared" si="4"/>
        <v>288.9</v>
      </c>
      <c r="F7" s="139">
        <f t="shared" si="2"/>
        <v>525.8</v>
      </c>
      <c r="G7" s="138">
        <f t="shared" si="3"/>
        <v>23399.3</v>
      </c>
      <c r="I7" s="142" t="s">
        <v>252</v>
      </c>
      <c r="J7" s="143">
        <f>+SUM(J5:J6)</f>
        <v>24266</v>
      </c>
    </row>
    <row r="8" ht="14.25" customHeight="1">
      <c r="A8" s="136">
        <v>4.0</v>
      </c>
      <c r="B8" s="137">
        <v>45837.0</v>
      </c>
      <c r="C8" s="144"/>
      <c r="D8" s="138">
        <f t="shared" si="1"/>
        <v>234</v>
      </c>
      <c r="E8" s="138">
        <f t="shared" si="4"/>
        <v>288.9</v>
      </c>
      <c r="F8" s="139">
        <f t="shared" si="2"/>
        <v>522.9</v>
      </c>
      <c r="G8" s="138">
        <f t="shared" si="3"/>
        <v>23110.4</v>
      </c>
    </row>
    <row r="9" ht="14.25" customHeight="1">
      <c r="A9" s="136">
        <v>5.0</v>
      </c>
      <c r="B9" s="137">
        <v>45867.0</v>
      </c>
      <c r="C9" s="144"/>
      <c r="D9" s="138">
        <f t="shared" si="1"/>
        <v>231.1</v>
      </c>
      <c r="E9" s="138">
        <f t="shared" si="4"/>
        <v>288.9</v>
      </c>
      <c r="F9" s="139">
        <f t="shared" si="2"/>
        <v>520</v>
      </c>
      <c r="G9" s="138">
        <f t="shared" si="3"/>
        <v>22821.5</v>
      </c>
    </row>
    <row r="10" ht="14.25" customHeight="1">
      <c r="A10" s="136">
        <v>6.0</v>
      </c>
      <c r="B10" s="137">
        <v>45898.0</v>
      </c>
      <c r="C10" s="144"/>
      <c r="D10" s="138">
        <f t="shared" si="1"/>
        <v>228.2</v>
      </c>
      <c r="E10" s="138">
        <f t="shared" si="4"/>
        <v>288.9</v>
      </c>
      <c r="F10" s="139">
        <f t="shared" si="2"/>
        <v>517.1</v>
      </c>
      <c r="G10" s="138">
        <f t="shared" si="3"/>
        <v>22532.6</v>
      </c>
    </row>
    <row r="11" ht="14.25" customHeight="1">
      <c r="A11" s="136">
        <v>7.0</v>
      </c>
      <c r="B11" s="137">
        <v>45929.0</v>
      </c>
      <c r="C11" s="144"/>
      <c r="D11" s="138">
        <f t="shared" si="1"/>
        <v>225.3</v>
      </c>
      <c r="E11" s="138">
        <f t="shared" si="4"/>
        <v>288.9</v>
      </c>
      <c r="F11" s="139">
        <f t="shared" si="2"/>
        <v>514.2</v>
      </c>
      <c r="G11" s="138">
        <f t="shared" si="3"/>
        <v>22243.7</v>
      </c>
    </row>
    <row r="12" ht="14.25" customHeight="1">
      <c r="A12" s="136">
        <v>8.0</v>
      </c>
      <c r="B12" s="137">
        <v>45959.0</v>
      </c>
      <c r="C12" s="145"/>
      <c r="D12" s="138">
        <f t="shared" si="1"/>
        <v>222.4</v>
      </c>
      <c r="E12" s="138">
        <f t="shared" si="4"/>
        <v>288.9</v>
      </c>
      <c r="F12" s="139">
        <f t="shared" si="2"/>
        <v>511.3</v>
      </c>
      <c r="G12" s="138">
        <f t="shared" si="3"/>
        <v>21954.8</v>
      </c>
    </row>
    <row r="13" ht="14.25" customHeight="1">
      <c r="A13" s="136">
        <v>9.0</v>
      </c>
      <c r="B13" s="137">
        <v>45990.0</v>
      </c>
      <c r="C13" s="145"/>
      <c r="D13" s="138">
        <f t="shared" si="1"/>
        <v>219.5</v>
      </c>
      <c r="E13" s="138">
        <f t="shared" si="4"/>
        <v>288.9</v>
      </c>
      <c r="F13" s="139">
        <f t="shared" si="2"/>
        <v>508.4</v>
      </c>
      <c r="G13" s="138">
        <f t="shared" si="3"/>
        <v>21665.9</v>
      </c>
    </row>
    <row r="14" ht="14.25" customHeight="1">
      <c r="A14" s="136">
        <v>10.0</v>
      </c>
      <c r="B14" s="137">
        <v>46020.0</v>
      </c>
      <c r="C14" s="145"/>
      <c r="D14" s="138">
        <f t="shared" si="1"/>
        <v>216.7</v>
      </c>
      <c r="E14" s="138">
        <f t="shared" si="4"/>
        <v>288.9</v>
      </c>
      <c r="F14" s="139">
        <f t="shared" si="2"/>
        <v>505.6</v>
      </c>
      <c r="G14" s="138">
        <f t="shared" si="3"/>
        <v>21377</v>
      </c>
    </row>
    <row r="15" ht="14.25" customHeight="1">
      <c r="A15" s="131">
        <v>11.0</v>
      </c>
      <c r="B15" s="132">
        <v>46051.0</v>
      </c>
      <c r="C15" s="146"/>
      <c r="D15" s="135">
        <f t="shared" si="1"/>
        <v>213.8</v>
      </c>
      <c r="E15" s="135">
        <f t="shared" si="4"/>
        <v>288.9</v>
      </c>
      <c r="F15" s="133">
        <f t="shared" si="2"/>
        <v>502.7</v>
      </c>
      <c r="G15" s="135">
        <f t="shared" si="3"/>
        <v>21088.1</v>
      </c>
    </row>
    <row r="16" ht="14.25" customHeight="1">
      <c r="A16" s="131">
        <v>12.0</v>
      </c>
      <c r="B16" s="132">
        <v>46081.0</v>
      </c>
      <c r="C16" s="146"/>
      <c r="D16" s="135">
        <f t="shared" si="1"/>
        <v>210.9</v>
      </c>
      <c r="E16" s="135">
        <f t="shared" si="4"/>
        <v>288.9</v>
      </c>
      <c r="F16" s="133">
        <f t="shared" si="2"/>
        <v>499.8</v>
      </c>
      <c r="G16" s="135">
        <f t="shared" si="3"/>
        <v>20799.2</v>
      </c>
    </row>
    <row r="17" ht="14.25" customHeight="1">
      <c r="A17" s="131">
        <v>13.0</v>
      </c>
      <c r="B17" s="132">
        <v>46110.0</v>
      </c>
      <c r="C17" s="146"/>
      <c r="D17" s="135">
        <f t="shared" si="1"/>
        <v>208</v>
      </c>
      <c r="E17" s="135">
        <f t="shared" si="4"/>
        <v>288.9</v>
      </c>
      <c r="F17" s="133">
        <f t="shared" si="2"/>
        <v>496.9</v>
      </c>
      <c r="G17" s="135">
        <f t="shared" si="3"/>
        <v>20510.3</v>
      </c>
    </row>
    <row r="18" ht="14.25" customHeight="1">
      <c r="A18" s="131">
        <v>14.0</v>
      </c>
      <c r="B18" s="132">
        <v>46141.0</v>
      </c>
      <c r="C18" s="146"/>
      <c r="D18" s="135">
        <f t="shared" si="1"/>
        <v>205.1</v>
      </c>
      <c r="E18" s="135">
        <f t="shared" si="4"/>
        <v>288.9</v>
      </c>
      <c r="F18" s="133">
        <f t="shared" si="2"/>
        <v>494</v>
      </c>
      <c r="G18" s="135">
        <f t="shared" si="3"/>
        <v>20221.4</v>
      </c>
    </row>
    <row r="19" ht="14.25" customHeight="1">
      <c r="A19" s="131">
        <v>15.0</v>
      </c>
      <c r="B19" s="132">
        <v>46171.0</v>
      </c>
      <c r="C19" s="146"/>
      <c r="D19" s="135">
        <f t="shared" si="1"/>
        <v>202.2</v>
      </c>
      <c r="E19" s="135">
        <f t="shared" si="4"/>
        <v>288.9</v>
      </c>
      <c r="F19" s="133">
        <f t="shared" si="2"/>
        <v>491.1</v>
      </c>
      <c r="G19" s="135">
        <f t="shared" si="3"/>
        <v>19932.5</v>
      </c>
    </row>
    <row r="20" ht="14.25" customHeight="1">
      <c r="A20" s="131">
        <v>16.0</v>
      </c>
      <c r="B20" s="132">
        <v>46202.0</v>
      </c>
      <c r="C20" s="146"/>
      <c r="D20" s="135">
        <f t="shared" si="1"/>
        <v>199.3</v>
      </c>
      <c r="E20" s="135">
        <f t="shared" si="4"/>
        <v>288.9</v>
      </c>
      <c r="F20" s="133">
        <f t="shared" si="2"/>
        <v>488.2</v>
      </c>
      <c r="G20" s="135">
        <f t="shared" si="3"/>
        <v>19643.6</v>
      </c>
    </row>
    <row r="21" ht="14.25" customHeight="1">
      <c r="A21" s="131">
        <v>17.0</v>
      </c>
      <c r="B21" s="132">
        <v>46232.0</v>
      </c>
      <c r="C21" s="146"/>
      <c r="D21" s="135">
        <f t="shared" si="1"/>
        <v>196.4</v>
      </c>
      <c r="E21" s="135">
        <f t="shared" si="4"/>
        <v>288.9</v>
      </c>
      <c r="F21" s="133">
        <f t="shared" si="2"/>
        <v>485.3</v>
      </c>
      <c r="G21" s="135">
        <f t="shared" si="3"/>
        <v>19354.7</v>
      </c>
    </row>
    <row r="22" ht="14.25" customHeight="1">
      <c r="A22" s="131">
        <v>18.0</v>
      </c>
      <c r="B22" s="132">
        <v>46263.0</v>
      </c>
      <c r="C22" s="146"/>
      <c r="D22" s="135">
        <f t="shared" si="1"/>
        <v>193.5</v>
      </c>
      <c r="E22" s="135">
        <f t="shared" si="4"/>
        <v>288.9</v>
      </c>
      <c r="F22" s="133">
        <f t="shared" si="2"/>
        <v>482.4</v>
      </c>
      <c r="G22" s="135">
        <f t="shared" si="3"/>
        <v>19065.8</v>
      </c>
    </row>
    <row r="23" ht="14.25" customHeight="1">
      <c r="A23" s="131">
        <v>19.0</v>
      </c>
      <c r="B23" s="132">
        <v>46294.0</v>
      </c>
      <c r="C23" s="146"/>
      <c r="D23" s="135">
        <f t="shared" si="1"/>
        <v>190.7</v>
      </c>
      <c r="E23" s="135">
        <f t="shared" si="4"/>
        <v>288.9</v>
      </c>
      <c r="F23" s="133">
        <f t="shared" si="2"/>
        <v>479.6</v>
      </c>
      <c r="G23" s="135">
        <f t="shared" si="3"/>
        <v>18776.9</v>
      </c>
    </row>
    <row r="24" ht="14.25" customHeight="1">
      <c r="A24" s="131">
        <v>20.0</v>
      </c>
      <c r="B24" s="132">
        <v>46324.0</v>
      </c>
      <c r="C24" s="146"/>
      <c r="D24" s="135">
        <f t="shared" si="1"/>
        <v>187.8</v>
      </c>
      <c r="E24" s="135">
        <f t="shared" si="4"/>
        <v>288.9</v>
      </c>
      <c r="F24" s="133">
        <f t="shared" si="2"/>
        <v>476.7</v>
      </c>
      <c r="G24" s="135">
        <f t="shared" si="3"/>
        <v>18488</v>
      </c>
    </row>
    <row r="25" ht="14.25" customHeight="1">
      <c r="A25" s="131">
        <v>21.0</v>
      </c>
      <c r="B25" s="132">
        <v>46355.0</v>
      </c>
      <c r="C25" s="146"/>
      <c r="D25" s="135">
        <f t="shared" si="1"/>
        <v>184.9</v>
      </c>
      <c r="E25" s="135">
        <f t="shared" si="4"/>
        <v>288.9</v>
      </c>
      <c r="F25" s="133">
        <f t="shared" si="2"/>
        <v>473.8</v>
      </c>
      <c r="G25" s="135">
        <f t="shared" si="3"/>
        <v>18199.1</v>
      </c>
    </row>
    <row r="26" ht="14.25" customHeight="1">
      <c r="A26" s="131">
        <v>22.0</v>
      </c>
      <c r="B26" s="132">
        <v>46385.0</v>
      </c>
      <c r="C26" s="146"/>
      <c r="D26" s="135">
        <f t="shared" si="1"/>
        <v>182</v>
      </c>
      <c r="E26" s="135">
        <f t="shared" si="4"/>
        <v>288.9</v>
      </c>
      <c r="F26" s="133">
        <f t="shared" si="2"/>
        <v>470.9</v>
      </c>
      <c r="G26" s="135">
        <f t="shared" si="3"/>
        <v>17910.2</v>
      </c>
    </row>
    <row r="27" ht="14.25" customHeight="1">
      <c r="A27" s="131">
        <v>23.0</v>
      </c>
      <c r="B27" s="132">
        <v>46416.0</v>
      </c>
      <c r="C27" s="146"/>
      <c r="D27" s="135">
        <f t="shared" si="1"/>
        <v>179.1</v>
      </c>
      <c r="E27" s="135">
        <f t="shared" si="4"/>
        <v>288.9</v>
      </c>
      <c r="F27" s="133">
        <f t="shared" si="2"/>
        <v>468</v>
      </c>
      <c r="G27" s="135">
        <f t="shared" si="3"/>
        <v>17621.3</v>
      </c>
    </row>
    <row r="28" ht="14.25" customHeight="1">
      <c r="A28" s="131">
        <v>24.0</v>
      </c>
      <c r="B28" s="132">
        <v>46446.0</v>
      </c>
      <c r="C28" s="146"/>
      <c r="D28" s="135">
        <f t="shared" si="1"/>
        <v>176.2</v>
      </c>
      <c r="E28" s="135">
        <f t="shared" si="4"/>
        <v>288.9</v>
      </c>
      <c r="F28" s="133">
        <f t="shared" si="2"/>
        <v>465.1</v>
      </c>
      <c r="G28" s="135">
        <f t="shared" si="3"/>
        <v>17332.4</v>
      </c>
    </row>
    <row r="29" ht="14.25" customHeight="1">
      <c r="A29" s="131">
        <v>25.0</v>
      </c>
      <c r="B29" s="132">
        <v>46475.0</v>
      </c>
      <c r="C29" s="146"/>
      <c r="D29" s="135">
        <f t="shared" si="1"/>
        <v>173.3</v>
      </c>
      <c r="E29" s="135">
        <f t="shared" si="4"/>
        <v>288.9</v>
      </c>
      <c r="F29" s="133">
        <f t="shared" si="2"/>
        <v>462.2</v>
      </c>
      <c r="G29" s="135">
        <f t="shared" si="3"/>
        <v>17043.5</v>
      </c>
    </row>
    <row r="30" ht="14.25" customHeight="1">
      <c r="A30" s="131">
        <v>26.0</v>
      </c>
      <c r="B30" s="132">
        <v>46506.0</v>
      </c>
      <c r="C30" s="146"/>
      <c r="D30" s="135">
        <f t="shared" si="1"/>
        <v>170.4</v>
      </c>
      <c r="E30" s="135">
        <f t="shared" si="4"/>
        <v>288.9</v>
      </c>
      <c r="F30" s="133">
        <f t="shared" si="2"/>
        <v>459.3</v>
      </c>
      <c r="G30" s="135">
        <f t="shared" si="3"/>
        <v>16754.6</v>
      </c>
    </row>
    <row r="31" ht="14.25" customHeight="1">
      <c r="A31" s="131">
        <v>27.0</v>
      </c>
      <c r="B31" s="132">
        <v>46536.0</v>
      </c>
      <c r="C31" s="146"/>
      <c r="D31" s="135">
        <f t="shared" si="1"/>
        <v>167.5</v>
      </c>
      <c r="E31" s="135">
        <f t="shared" si="4"/>
        <v>288.9</v>
      </c>
      <c r="F31" s="133">
        <f t="shared" si="2"/>
        <v>456.4</v>
      </c>
      <c r="G31" s="135">
        <f t="shared" si="3"/>
        <v>16465.7</v>
      </c>
    </row>
    <row r="32" ht="14.25" customHeight="1">
      <c r="A32" s="131">
        <v>28.0</v>
      </c>
      <c r="B32" s="132">
        <v>46567.0</v>
      </c>
      <c r="C32" s="146"/>
      <c r="D32" s="135">
        <f t="shared" si="1"/>
        <v>164.7</v>
      </c>
      <c r="E32" s="135">
        <f t="shared" si="4"/>
        <v>288.9</v>
      </c>
      <c r="F32" s="133">
        <f t="shared" si="2"/>
        <v>453.6</v>
      </c>
      <c r="G32" s="135">
        <f t="shared" si="3"/>
        <v>16176.8</v>
      </c>
    </row>
    <row r="33" ht="14.25" customHeight="1">
      <c r="A33" s="131">
        <v>29.0</v>
      </c>
      <c r="B33" s="132">
        <v>46597.0</v>
      </c>
      <c r="C33" s="146"/>
      <c r="D33" s="135">
        <f t="shared" si="1"/>
        <v>161.8</v>
      </c>
      <c r="E33" s="135">
        <f t="shared" si="4"/>
        <v>288.9</v>
      </c>
      <c r="F33" s="133">
        <f t="shared" si="2"/>
        <v>450.7</v>
      </c>
      <c r="G33" s="135">
        <f t="shared" si="3"/>
        <v>15887.9</v>
      </c>
    </row>
    <row r="34" ht="14.25" customHeight="1">
      <c r="A34" s="131">
        <v>30.0</v>
      </c>
      <c r="B34" s="132">
        <v>46628.0</v>
      </c>
      <c r="C34" s="146"/>
      <c r="D34" s="135">
        <f t="shared" si="1"/>
        <v>158.9</v>
      </c>
      <c r="E34" s="135">
        <f t="shared" si="4"/>
        <v>288.9</v>
      </c>
      <c r="F34" s="133">
        <f t="shared" si="2"/>
        <v>447.8</v>
      </c>
      <c r="G34" s="135">
        <f t="shared" si="3"/>
        <v>15599</v>
      </c>
    </row>
    <row r="35" ht="14.25" customHeight="1">
      <c r="A35" s="131">
        <v>31.0</v>
      </c>
      <c r="B35" s="132">
        <v>46659.0</v>
      </c>
      <c r="C35" s="146"/>
      <c r="D35" s="135">
        <f t="shared" si="1"/>
        <v>156</v>
      </c>
      <c r="E35" s="135">
        <f t="shared" si="4"/>
        <v>288.9</v>
      </c>
      <c r="F35" s="133">
        <f t="shared" si="2"/>
        <v>444.9</v>
      </c>
      <c r="G35" s="135">
        <f t="shared" si="3"/>
        <v>15310.1</v>
      </c>
    </row>
    <row r="36" ht="14.25" customHeight="1">
      <c r="A36" s="131">
        <v>32.0</v>
      </c>
      <c r="B36" s="132">
        <v>46689.0</v>
      </c>
      <c r="C36" s="146"/>
      <c r="D36" s="135">
        <f t="shared" si="1"/>
        <v>153.1</v>
      </c>
      <c r="E36" s="135">
        <f t="shared" si="4"/>
        <v>288.9</v>
      </c>
      <c r="F36" s="133">
        <f t="shared" si="2"/>
        <v>442</v>
      </c>
      <c r="G36" s="135">
        <f t="shared" si="3"/>
        <v>15021.2</v>
      </c>
    </row>
    <row r="37" ht="14.25" customHeight="1">
      <c r="A37" s="131">
        <v>33.0</v>
      </c>
      <c r="B37" s="132">
        <v>46720.0</v>
      </c>
      <c r="C37" s="146"/>
      <c r="D37" s="135">
        <f t="shared" si="1"/>
        <v>150.2</v>
      </c>
      <c r="E37" s="135">
        <f t="shared" si="4"/>
        <v>288.9</v>
      </c>
      <c r="F37" s="133">
        <f t="shared" si="2"/>
        <v>439.1</v>
      </c>
      <c r="G37" s="135">
        <f t="shared" si="3"/>
        <v>14732.3</v>
      </c>
    </row>
    <row r="38" ht="14.25" customHeight="1">
      <c r="A38" s="131">
        <v>34.0</v>
      </c>
      <c r="B38" s="132">
        <v>46750.0</v>
      </c>
      <c r="C38" s="146"/>
      <c r="D38" s="135">
        <f t="shared" si="1"/>
        <v>147.3</v>
      </c>
      <c r="E38" s="135">
        <f t="shared" si="4"/>
        <v>288.9</v>
      </c>
      <c r="F38" s="133">
        <f t="shared" si="2"/>
        <v>436.2</v>
      </c>
      <c r="G38" s="135">
        <f t="shared" si="3"/>
        <v>14443.4</v>
      </c>
    </row>
    <row r="39" ht="14.25" customHeight="1">
      <c r="A39" s="131">
        <v>35.0</v>
      </c>
      <c r="B39" s="132">
        <v>46781.0</v>
      </c>
      <c r="C39" s="146"/>
      <c r="D39" s="135">
        <f t="shared" si="1"/>
        <v>144.4</v>
      </c>
      <c r="E39" s="135">
        <f t="shared" si="4"/>
        <v>288.9</v>
      </c>
      <c r="F39" s="133">
        <f t="shared" si="2"/>
        <v>433.3</v>
      </c>
      <c r="G39" s="135">
        <f t="shared" si="3"/>
        <v>14154.5</v>
      </c>
    </row>
    <row r="40" ht="14.25" customHeight="1">
      <c r="A40" s="131">
        <v>36.0</v>
      </c>
      <c r="B40" s="132">
        <v>46812.0</v>
      </c>
      <c r="C40" s="146"/>
      <c r="D40" s="135">
        <f t="shared" si="1"/>
        <v>141.5</v>
      </c>
      <c r="E40" s="135">
        <f t="shared" si="4"/>
        <v>288.9</v>
      </c>
      <c r="F40" s="133">
        <f t="shared" si="2"/>
        <v>430.4</v>
      </c>
      <c r="G40" s="135">
        <f t="shared" si="3"/>
        <v>13865.6</v>
      </c>
    </row>
    <row r="41" ht="14.25" customHeight="1">
      <c r="A41" s="131">
        <v>37.0</v>
      </c>
      <c r="B41" s="132">
        <v>46841.0</v>
      </c>
      <c r="C41" s="146"/>
      <c r="D41" s="135">
        <f t="shared" si="1"/>
        <v>138.7</v>
      </c>
      <c r="E41" s="135">
        <f t="shared" si="4"/>
        <v>288.9</v>
      </c>
      <c r="F41" s="133">
        <f t="shared" si="2"/>
        <v>427.6</v>
      </c>
      <c r="G41" s="135">
        <f t="shared" si="3"/>
        <v>13576.7</v>
      </c>
    </row>
    <row r="42" ht="14.25" customHeight="1">
      <c r="A42" s="131">
        <v>38.0</v>
      </c>
      <c r="B42" s="132">
        <v>46872.0</v>
      </c>
      <c r="C42" s="146"/>
      <c r="D42" s="135">
        <f t="shared" si="1"/>
        <v>135.8</v>
      </c>
      <c r="E42" s="135">
        <f t="shared" si="4"/>
        <v>288.9</v>
      </c>
      <c r="F42" s="133">
        <f t="shared" si="2"/>
        <v>424.7</v>
      </c>
      <c r="G42" s="135">
        <f t="shared" si="3"/>
        <v>13287.8</v>
      </c>
    </row>
    <row r="43" ht="14.25" customHeight="1">
      <c r="A43" s="131">
        <v>39.0</v>
      </c>
      <c r="B43" s="132">
        <v>46902.0</v>
      </c>
      <c r="C43" s="146"/>
      <c r="D43" s="135">
        <f t="shared" si="1"/>
        <v>132.9</v>
      </c>
      <c r="E43" s="135">
        <f t="shared" si="4"/>
        <v>288.9</v>
      </c>
      <c r="F43" s="133">
        <f t="shared" si="2"/>
        <v>421.8</v>
      </c>
      <c r="G43" s="135">
        <f t="shared" si="3"/>
        <v>12998.9</v>
      </c>
    </row>
    <row r="44" ht="14.25" customHeight="1">
      <c r="A44" s="131">
        <v>40.0</v>
      </c>
      <c r="B44" s="132">
        <v>46933.0</v>
      </c>
      <c r="C44" s="146"/>
      <c r="D44" s="135">
        <f t="shared" si="1"/>
        <v>130</v>
      </c>
      <c r="E44" s="135">
        <f t="shared" si="4"/>
        <v>288.9</v>
      </c>
      <c r="F44" s="133">
        <f t="shared" si="2"/>
        <v>418.9</v>
      </c>
      <c r="G44" s="135">
        <f t="shared" si="3"/>
        <v>12710</v>
      </c>
    </row>
    <row r="45" ht="14.25" customHeight="1">
      <c r="A45" s="131">
        <v>41.0</v>
      </c>
      <c r="B45" s="132">
        <v>46963.0</v>
      </c>
      <c r="C45" s="146"/>
      <c r="D45" s="135">
        <f t="shared" si="1"/>
        <v>127.1</v>
      </c>
      <c r="E45" s="135">
        <f t="shared" si="4"/>
        <v>288.9</v>
      </c>
      <c r="F45" s="133">
        <f t="shared" si="2"/>
        <v>416</v>
      </c>
      <c r="G45" s="135">
        <f t="shared" si="3"/>
        <v>12421.1</v>
      </c>
    </row>
    <row r="46" ht="14.25" customHeight="1">
      <c r="A46" s="131">
        <v>42.0</v>
      </c>
      <c r="B46" s="132">
        <v>46994.0</v>
      </c>
      <c r="C46" s="146"/>
      <c r="D46" s="135">
        <f t="shared" si="1"/>
        <v>124.2</v>
      </c>
      <c r="E46" s="135">
        <f t="shared" si="4"/>
        <v>288.9</v>
      </c>
      <c r="F46" s="133">
        <f t="shared" si="2"/>
        <v>413.1</v>
      </c>
      <c r="G46" s="135">
        <f t="shared" si="3"/>
        <v>12132.2</v>
      </c>
    </row>
    <row r="47" ht="14.25" customHeight="1">
      <c r="A47" s="131">
        <v>43.0</v>
      </c>
      <c r="B47" s="132">
        <v>47025.0</v>
      </c>
      <c r="C47" s="146"/>
      <c r="D47" s="135">
        <f t="shared" si="1"/>
        <v>121.3</v>
      </c>
      <c r="E47" s="135">
        <f t="shared" si="4"/>
        <v>288.9</v>
      </c>
      <c r="F47" s="133">
        <f t="shared" si="2"/>
        <v>410.2</v>
      </c>
      <c r="G47" s="135">
        <f t="shared" si="3"/>
        <v>11843.3</v>
      </c>
    </row>
    <row r="48" ht="14.25" customHeight="1">
      <c r="A48" s="131">
        <v>44.0</v>
      </c>
      <c r="B48" s="132">
        <v>47055.0</v>
      </c>
      <c r="C48" s="146"/>
      <c r="D48" s="135">
        <f t="shared" si="1"/>
        <v>118.4</v>
      </c>
      <c r="E48" s="135">
        <f t="shared" si="4"/>
        <v>288.9</v>
      </c>
      <c r="F48" s="133">
        <f t="shared" si="2"/>
        <v>407.3</v>
      </c>
      <c r="G48" s="135">
        <f t="shared" si="3"/>
        <v>11554.4</v>
      </c>
    </row>
    <row r="49" ht="14.25" customHeight="1">
      <c r="A49" s="131">
        <v>45.0</v>
      </c>
      <c r="B49" s="132">
        <v>47086.0</v>
      </c>
      <c r="C49" s="146"/>
      <c r="D49" s="135">
        <f t="shared" si="1"/>
        <v>115.5</v>
      </c>
      <c r="E49" s="135">
        <f t="shared" si="4"/>
        <v>288.9</v>
      </c>
      <c r="F49" s="133">
        <f t="shared" si="2"/>
        <v>404.4</v>
      </c>
      <c r="G49" s="135">
        <f t="shared" si="3"/>
        <v>11265.5</v>
      </c>
    </row>
    <row r="50" ht="14.25" customHeight="1">
      <c r="A50" s="131">
        <v>46.0</v>
      </c>
      <c r="B50" s="132">
        <v>47116.0</v>
      </c>
      <c r="C50" s="146"/>
      <c r="D50" s="135">
        <f t="shared" si="1"/>
        <v>112.7</v>
      </c>
      <c r="E50" s="135">
        <f t="shared" si="4"/>
        <v>288.9</v>
      </c>
      <c r="F50" s="133">
        <f t="shared" si="2"/>
        <v>401.6</v>
      </c>
      <c r="G50" s="135">
        <f t="shared" si="3"/>
        <v>10976.6</v>
      </c>
    </row>
    <row r="51" ht="14.25" customHeight="1">
      <c r="A51" s="131">
        <v>47.0</v>
      </c>
      <c r="B51" s="132">
        <v>47147.0</v>
      </c>
      <c r="C51" s="146"/>
      <c r="D51" s="135">
        <f t="shared" si="1"/>
        <v>109.8</v>
      </c>
      <c r="E51" s="135">
        <f t="shared" si="4"/>
        <v>288.9</v>
      </c>
      <c r="F51" s="133">
        <f t="shared" si="2"/>
        <v>398.7</v>
      </c>
      <c r="G51" s="135">
        <f t="shared" si="3"/>
        <v>10687.7</v>
      </c>
    </row>
    <row r="52" ht="14.25" customHeight="1">
      <c r="A52" s="131">
        <v>48.0</v>
      </c>
      <c r="B52" s="132">
        <v>47177.0</v>
      </c>
      <c r="C52" s="146"/>
      <c r="D52" s="135">
        <f t="shared" si="1"/>
        <v>106.9</v>
      </c>
      <c r="E52" s="135">
        <f t="shared" si="4"/>
        <v>288.9</v>
      </c>
      <c r="F52" s="133">
        <f t="shared" si="2"/>
        <v>395.8</v>
      </c>
      <c r="G52" s="135">
        <f t="shared" si="3"/>
        <v>10398.8</v>
      </c>
    </row>
    <row r="53" ht="14.25" customHeight="1">
      <c r="A53" s="131">
        <v>49.0</v>
      </c>
      <c r="B53" s="132">
        <v>47206.0</v>
      </c>
      <c r="C53" s="146"/>
      <c r="D53" s="135">
        <f t="shared" si="1"/>
        <v>104</v>
      </c>
      <c r="E53" s="135">
        <f t="shared" si="4"/>
        <v>288.9</v>
      </c>
      <c r="F53" s="133">
        <f t="shared" si="2"/>
        <v>392.9</v>
      </c>
      <c r="G53" s="135">
        <f t="shared" si="3"/>
        <v>10109.9</v>
      </c>
    </row>
    <row r="54" ht="14.25" customHeight="1">
      <c r="A54" s="131">
        <v>50.0</v>
      </c>
      <c r="B54" s="132">
        <v>47237.0</v>
      </c>
      <c r="C54" s="146"/>
      <c r="D54" s="135">
        <f t="shared" si="1"/>
        <v>101.1</v>
      </c>
      <c r="E54" s="135">
        <f t="shared" si="4"/>
        <v>288.9</v>
      </c>
      <c r="F54" s="133">
        <f t="shared" si="2"/>
        <v>390</v>
      </c>
      <c r="G54" s="135">
        <f t="shared" si="3"/>
        <v>9821</v>
      </c>
    </row>
    <row r="55" ht="14.25" customHeight="1">
      <c r="A55" s="131">
        <v>51.0</v>
      </c>
      <c r="B55" s="132">
        <v>47267.0</v>
      </c>
      <c r="C55" s="146"/>
      <c r="D55" s="135">
        <f t="shared" si="1"/>
        <v>98.2</v>
      </c>
      <c r="E55" s="135">
        <f t="shared" si="4"/>
        <v>288.9</v>
      </c>
      <c r="F55" s="133">
        <f t="shared" si="2"/>
        <v>387.1</v>
      </c>
      <c r="G55" s="135">
        <f t="shared" si="3"/>
        <v>9532.1</v>
      </c>
    </row>
    <row r="56" ht="14.25" customHeight="1">
      <c r="A56" s="131">
        <v>52.0</v>
      </c>
      <c r="B56" s="132">
        <v>47298.0</v>
      </c>
      <c r="C56" s="146"/>
      <c r="D56" s="135">
        <f t="shared" si="1"/>
        <v>95.3</v>
      </c>
      <c r="E56" s="135">
        <f t="shared" si="4"/>
        <v>288.9</v>
      </c>
      <c r="F56" s="133">
        <f t="shared" si="2"/>
        <v>384.2</v>
      </c>
      <c r="G56" s="135">
        <f t="shared" si="3"/>
        <v>9243.2</v>
      </c>
    </row>
    <row r="57" ht="14.25" customHeight="1">
      <c r="A57" s="131">
        <v>53.0</v>
      </c>
      <c r="B57" s="132">
        <v>47328.0</v>
      </c>
      <c r="C57" s="146"/>
      <c r="D57" s="135">
        <f t="shared" si="1"/>
        <v>92.4</v>
      </c>
      <c r="E57" s="135">
        <f t="shared" si="4"/>
        <v>288.9</v>
      </c>
      <c r="F57" s="133">
        <f t="shared" si="2"/>
        <v>381.3</v>
      </c>
      <c r="G57" s="135">
        <f t="shared" si="3"/>
        <v>8954.3</v>
      </c>
    </row>
    <row r="58" ht="14.25" customHeight="1">
      <c r="A58" s="131">
        <v>54.0</v>
      </c>
      <c r="B58" s="132">
        <v>47359.0</v>
      </c>
      <c r="C58" s="146"/>
      <c r="D58" s="135">
        <f t="shared" si="1"/>
        <v>89.5</v>
      </c>
      <c r="E58" s="135">
        <f t="shared" si="4"/>
        <v>288.9</v>
      </c>
      <c r="F58" s="133">
        <f t="shared" si="2"/>
        <v>378.4</v>
      </c>
      <c r="G58" s="135">
        <f t="shared" si="3"/>
        <v>8665.4</v>
      </c>
    </row>
    <row r="59" ht="14.25" customHeight="1">
      <c r="A59" s="131">
        <v>55.0</v>
      </c>
      <c r="B59" s="132">
        <v>47390.0</v>
      </c>
      <c r="C59" s="146"/>
      <c r="D59" s="135">
        <f t="shared" si="1"/>
        <v>86.7</v>
      </c>
      <c r="E59" s="135">
        <f t="shared" si="4"/>
        <v>288.9</v>
      </c>
      <c r="F59" s="133">
        <f t="shared" si="2"/>
        <v>375.6</v>
      </c>
      <c r="G59" s="135">
        <f t="shared" si="3"/>
        <v>8376.5</v>
      </c>
    </row>
    <row r="60" ht="14.25" customHeight="1">
      <c r="A60" s="131">
        <v>56.0</v>
      </c>
      <c r="B60" s="132">
        <v>47420.0</v>
      </c>
      <c r="C60" s="146"/>
      <c r="D60" s="135">
        <f t="shared" si="1"/>
        <v>83.8</v>
      </c>
      <c r="E60" s="135">
        <f t="shared" si="4"/>
        <v>288.9</v>
      </c>
      <c r="F60" s="133">
        <f t="shared" si="2"/>
        <v>372.7</v>
      </c>
      <c r="G60" s="135">
        <f t="shared" si="3"/>
        <v>8087.6</v>
      </c>
    </row>
    <row r="61" ht="14.25" customHeight="1">
      <c r="A61" s="131">
        <v>57.0</v>
      </c>
      <c r="B61" s="132">
        <v>47451.0</v>
      </c>
      <c r="C61" s="146"/>
      <c r="D61" s="135">
        <f t="shared" si="1"/>
        <v>80.9</v>
      </c>
      <c r="E61" s="135">
        <f t="shared" si="4"/>
        <v>288.9</v>
      </c>
      <c r="F61" s="133">
        <f t="shared" si="2"/>
        <v>369.8</v>
      </c>
      <c r="G61" s="135">
        <f t="shared" si="3"/>
        <v>7798.7</v>
      </c>
    </row>
    <row r="62" ht="14.25" customHeight="1">
      <c r="A62" s="131">
        <v>58.0</v>
      </c>
      <c r="B62" s="132">
        <v>47481.0</v>
      </c>
      <c r="C62" s="146"/>
      <c r="D62" s="135">
        <f t="shared" si="1"/>
        <v>78</v>
      </c>
      <c r="E62" s="135">
        <f t="shared" si="4"/>
        <v>288.9</v>
      </c>
      <c r="F62" s="133">
        <f t="shared" si="2"/>
        <v>366.9</v>
      </c>
      <c r="G62" s="135">
        <f t="shared" si="3"/>
        <v>7509.8</v>
      </c>
    </row>
    <row r="63" ht="14.25" customHeight="1">
      <c r="A63" s="131">
        <v>59.0</v>
      </c>
      <c r="B63" s="132">
        <v>47512.0</v>
      </c>
      <c r="C63" s="146"/>
      <c r="D63" s="135">
        <f t="shared" si="1"/>
        <v>75.1</v>
      </c>
      <c r="E63" s="135">
        <f t="shared" si="4"/>
        <v>288.9</v>
      </c>
      <c r="F63" s="133">
        <f t="shared" si="2"/>
        <v>364</v>
      </c>
      <c r="G63" s="135">
        <f t="shared" si="3"/>
        <v>7220.9</v>
      </c>
    </row>
    <row r="64" ht="14.25" customHeight="1">
      <c r="A64" s="131">
        <v>60.0</v>
      </c>
      <c r="B64" s="132">
        <v>47542.0</v>
      </c>
      <c r="C64" s="146"/>
      <c r="D64" s="135">
        <f t="shared" si="1"/>
        <v>72.2</v>
      </c>
      <c r="E64" s="135">
        <f t="shared" si="4"/>
        <v>288.9</v>
      </c>
      <c r="F64" s="133">
        <f t="shared" si="2"/>
        <v>361.1</v>
      </c>
      <c r="G64" s="135">
        <f t="shared" si="3"/>
        <v>6932</v>
      </c>
    </row>
    <row r="65" ht="14.25" customHeight="1">
      <c r="A65" s="131">
        <v>61.0</v>
      </c>
      <c r="B65" s="132">
        <v>47571.0</v>
      </c>
      <c r="C65" s="146"/>
      <c r="D65" s="135">
        <f t="shared" si="1"/>
        <v>69.3</v>
      </c>
      <c r="E65" s="135">
        <f t="shared" si="4"/>
        <v>288.9</v>
      </c>
      <c r="F65" s="133">
        <f t="shared" si="2"/>
        <v>358.2</v>
      </c>
      <c r="G65" s="135">
        <f t="shared" si="3"/>
        <v>6643.1</v>
      </c>
    </row>
    <row r="66" ht="14.25" customHeight="1">
      <c r="A66" s="131">
        <v>62.0</v>
      </c>
      <c r="B66" s="132">
        <v>47602.0</v>
      </c>
      <c r="C66" s="146"/>
      <c r="D66" s="135">
        <f t="shared" si="1"/>
        <v>66.4</v>
      </c>
      <c r="E66" s="135">
        <f t="shared" si="4"/>
        <v>288.9</v>
      </c>
      <c r="F66" s="133">
        <f t="shared" si="2"/>
        <v>355.3</v>
      </c>
      <c r="G66" s="135">
        <f t="shared" si="3"/>
        <v>6354.2</v>
      </c>
    </row>
    <row r="67" ht="14.25" customHeight="1">
      <c r="A67" s="131">
        <v>63.0</v>
      </c>
      <c r="B67" s="132">
        <v>47632.0</v>
      </c>
      <c r="C67" s="146"/>
      <c r="D67" s="135">
        <f t="shared" si="1"/>
        <v>63.5</v>
      </c>
      <c r="E67" s="135">
        <f t="shared" si="4"/>
        <v>288.9</v>
      </c>
      <c r="F67" s="133">
        <f t="shared" si="2"/>
        <v>352.4</v>
      </c>
      <c r="G67" s="135">
        <f t="shared" si="3"/>
        <v>6065.3</v>
      </c>
    </row>
    <row r="68" ht="14.25" customHeight="1">
      <c r="A68" s="131">
        <v>64.0</v>
      </c>
      <c r="B68" s="132">
        <v>47663.0</v>
      </c>
      <c r="C68" s="146"/>
      <c r="D68" s="135">
        <f t="shared" si="1"/>
        <v>60.7</v>
      </c>
      <c r="E68" s="135">
        <f t="shared" si="4"/>
        <v>288.9</v>
      </c>
      <c r="F68" s="133">
        <f t="shared" si="2"/>
        <v>349.6</v>
      </c>
      <c r="G68" s="135">
        <f t="shared" si="3"/>
        <v>5776.4</v>
      </c>
    </row>
    <row r="69" ht="14.25" customHeight="1">
      <c r="A69" s="131">
        <v>65.0</v>
      </c>
      <c r="B69" s="132">
        <v>47693.0</v>
      </c>
      <c r="C69" s="146"/>
      <c r="D69" s="135">
        <f t="shared" si="1"/>
        <v>57.8</v>
      </c>
      <c r="E69" s="135">
        <f t="shared" si="4"/>
        <v>288.9</v>
      </c>
      <c r="F69" s="133">
        <f t="shared" si="2"/>
        <v>346.7</v>
      </c>
      <c r="G69" s="135">
        <f t="shared" si="3"/>
        <v>5487.5</v>
      </c>
    </row>
    <row r="70" ht="14.25" customHeight="1">
      <c r="A70" s="131">
        <v>66.0</v>
      </c>
      <c r="B70" s="132">
        <v>47724.0</v>
      </c>
      <c r="C70" s="146"/>
      <c r="D70" s="135">
        <f t="shared" si="1"/>
        <v>54.9</v>
      </c>
      <c r="E70" s="135">
        <f t="shared" si="4"/>
        <v>288.9</v>
      </c>
      <c r="F70" s="133">
        <f t="shared" si="2"/>
        <v>343.8</v>
      </c>
      <c r="G70" s="135">
        <f t="shared" si="3"/>
        <v>5198.6</v>
      </c>
    </row>
    <row r="71" ht="14.25" customHeight="1">
      <c r="A71" s="131">
        <v>67.0</v>
      </c>
      <c r="B71" s="132">
        <v>47755.0</v>
      </c>
      <c r="C71" s="146"/>
      <c r="D71" s="135">
        <f t="shared" si="1"/>
        <v>52</v>
      </c>
      <c r="E71" s="135">
        <f t="shared" si="4"/>
        <v>288.9</v>
      </c>
      <c r="F71" s="133">
        <f t="shared" si="2"/>
        <v>340.9</v>
      </c>
      <c r="G71" s="135">
        <f t="shared" si="3"/>
        <v>4909.7</v>
      </c>
    </row>
    <row r="72" ht="14.25" customHeight="1">
      <c r="A72" s="131">
        <v>68.0</v>
      </c>
      <c r="B72" s="132">
        <v>47785.0</v>
      </c>
      <c r="C72" s="146"/>
      <c r="D72" s="135">
        <f t="shared" si="1"/>
        <v>49.1</v>
      </c>
      <c r="E72" s="135">
        <f t="shared" si="4"/>
        <v>288.9</v>
      </c>
      <c r="F72" s="133">
        <f t="shared" si="2"/>
        <v>338</v>
      </c>
      <c r="G72" s="135">
        <f t="shared" si="3"/>
        <v>4620.8</v>
      </c>
    </row>
    <row r="73" ht="14.25" customHeight="1">
      <c r="A73" s="131">
        <v>69.0</v>
      </c>
      <c r="B73" s="132">
        <v>47816.0</v>
      </c>
      <c r="C73" s="146"/>
      <c r="D73" s="135">
        <f t="shared" si="1"/>
        <v>46.2</v>
      </c>
      <c r="E73" s="135">
        <f t="shared" si="4"/>
        <v>288.9</v>
      </c>
      <c r="F73" s="133">
        <f t="shared" si="2"/>
        <v>335.1</v>
      </c>
      <c r="G73" s="135">
        <f t="shared" si="3"/>
        <v>4331.9</v>
      </c>
    </row>
    <row r="74" ht="14.25" customHeight="1">
      <c r="A74" s="131">
        <v>70.0</v>
      </c>
      <c r="B74" s="132">
        <v>47846.0</v>
      </c>
      <c r="C74" s="146"/>
      <c r="D74" s="135">
        <f t="shared" si="1"/>
        <v>43.3</v>
      </c>
      <c r="E74" s="135">
        <f t="shared" si="4"/>
        <v>288.9</v>
      </c>
      <c r="F74" s="133">
        <f t="shared" si="2"/>
        <v>332.2</v>
      </c>
      <c r="G74" s="135">
        <f t="shared" si="3"/>
        <v>4043</v>
      </c>
    </row>
    <row r="75" ht="14.25" customHeight="1">
      <c r="A75" s="131">
        <v>71.0</v>
      </c>
      <c r="B75" s="132">
        <v>47877.0</v>
      </c>
      <c r="C75" s="146"/>
      <c r="D75" s="135">
        <f t="shared" si="1"/>
        <v>40.4</v>
      </c>
      <c r="E75" s="135">
        <f t="shared" si="4"/>
        <v>288.9</v>
      </c>
      <c r="F75" s="133">
        <f t="shared" si="2"/>
        <v>329.3</v>
      </c>
      <c r="G75" s="135">
        <f t="shared" si="3"/>
        <v>3754.1</v>
      </c>
    </row>
    <row r="76" ht="14.25" customHeight="1">
      <c r="A76" s="131">
        <v>72.0</v>
      </c>
      <c r="B76" s="132">
        <v>47907.0</v>
      </c>
      <c r="C76" s="146"/>
      <c r="D76" s="135">
        <f t="shared" si="1"/>
        <v>37.5</v>
      </c>
      <c r="E76" s="135">
        <f t="shared" si="4"/>
        <v>288.9</v>
      </c>
      <c r="F76" s="133">
        <f t="shared" si="2"/>
        <v>326.4</v>
      </c>
      <c r="G76" s="135">
        <f t="shared" si="3"/>
        <v>3465.2</v>
      </c>
    </row>
    <row r="77" ht="14.25" customHeight="1">
      <c r="A77" s="131">
        <v>73.0</v>
      </c>
      <c r="B77" s="132">
        <v>47936.0</v>
      </c>
      <c r="C77" s="146"/>
      <c r="D77" s="135">
        <f t="shared" si="1"/>
        <v>34.7</v>
      </c>
      <c r="E77" s="135">
        <f t="shared" si="4"/>
        <v>288.9</v>
      </c>
      <c r="F77" s="133">
        <f t="shared" si="2"/>
        <v>323.6</v>
      </c>
      <c r="G77" s="135">
        <f t="shared" si="3"/>
        <v>3176.3</v>
      </c>
    </row>
    <row r="78" ht="14.25" customHeight="1">
      <c r="A78" s="131">
        <v>74.0</v>
      </c>
      <c r="B78" s="132">
        <v>47967.0</v>
      </c>
      <c r="C78" s="146"/>
      <c r="D78" s="135">
        <f t="shared" si="1"/>
        <v>31.8</v>
      </c>
      <c r="E78" s="135">
        <f t="shared" si="4"/>
        <v>288.9</v>
      </c>
      <c r="F78" s="133">
        <f t="shared" si="2"/>
        <v>320.7</v>
      </c>
      <c r="G78" s="135">
        <f t="shared" si="3"/>
        <v>2887.4</v>
      </c>
    </row>
    <row r="79" ht="14.25" customHeight="1">
      <c r="A79" s="131">
        <v>75.0</v>
      </c>
      <c r="B79" s="132">
        <v>47997.0</v>
      </c>
      <c r="C79" s="146"/>
      <c r="D79" s="135">
        <f t="shared" si="1"/>
        <v>28.9</v>
      </c>
      <c r="E79" s="135">
        <f t="shared" si="4"/>
        <v>288.9</v>
      </c>
      <c r="F79" s="133">
        <f t="shared" si="2"/>
        <v>317.8</v>
      </c>
      <c r="G79" s="135">
        <f t="shared" si="3"/>
        <v>2598.5</v>
      </c>
    </row>
    <row r="80" ht="14.25" customHeight="1">
      <c r="A80" s="131">
        <v>76.0</v>
      </c>
      <c r="B80" s="132">
        <v>48028.0</v>
      </c>
      <c r="C80" s="146"/>
      <c r="D80" s="135">
        <f t="shared" si="1"/>
        <v>26</v>
      </c>
      <c r="E80" s="135">
        <f t="shared" si="4"/>
        <v>288.9</v>
      </c>
      <c r="F80" s="133">
        <f t="shared" si="2"/>
        <v>314.9</v>
      </c>
      <c r="G80" s="135">
        <f t="shared" si="3"/>
        <v>2309.6</v>
      </c>
    </row>
    <row r="81" ht="14.25" customHeight="1">
      <c r="A81" s="131">
        <v>77.0</v>
      </c>
      <c r="B81" s="132">
        <v>48058.0</v>
      </c>
      <c r="C81" s="146"/>
      <c r="D81" s="135">
        <f t="shared" si="1"/>
        <v>23.1</v>
      </c>
      <c r="E81" s="135">
        <f t="shared" si="4"/>
        <v>288.9</v>
      </c>
      <c r="F81" s="133">
        <f t="shared" si="2"/>
        <v>312</v>
      </c>
      <c r="G81" s="135">
        <f t="shared" si="3"/>
        <v>2020.7</v>
      </c>
    </row>
    <row r="82" ht="14.25" customHeight="1">
      <c r="A82" s="131">
        <v>78.0</v>
      </c>
      <c r="B82" s="132">
        <v>48089.0</v>
      </c>
      <c r="C82" s="146"/>
      <c r="D82" s="135">
        <f t="shared" si="1"/>
        <v>20.2</v>
      </c>
      <c r="E82" s="135">
        <f t="shared" si="4"/>
        <v>288.9</v>
      </c>
      <c r="F82" s="133">
        <f t="shared" si="2"/>
        <v>309.1</v>
      </c>
      <c r="G82" s="135">
        <f t="shared" si="3"/>
        <v>1731.8</v>
      </c>
    </row>
    <row r="83" ht="14.25" customHeight="1">
      <c r="A83" s="131">
        <v>79.0</v>
      </c>
      <c r="B83" s="132">
        <v>48120.0</v>
      </c>
      <c r="C83" s="146"/>
      <c r="D83" s="135">
        <f t="shared" si="1"/>
        <v>17.3</v>
      </c>
      <c r="E83" s="135">
        <f t="shared" si="4"/>
        <v>288.9</v>
      </c>
      <c r="F83" s="133">
        <f t="shared" si="2"/>
        <v>306.2</v>
      </c>
      <c r="G83" s="135">
        <f t="shared" si="3"/>
        <v>1442.9</v>
      </c>
    </row>
    <row r="84" ht="14.25" customHeight="1">
      <c r="A84" s="131">
        <v>80.0</v>
      </c>
      <c r="B84" s="132">
        <v>48150.0</v>
      </c>
      <c r="C84" s="146"/>
      <c r="D84" s="135">
        <f t="shared" si="1"/>
        <v>14.4</v>
      </c>
      <c r="E84" s="135">
        <f t="shared" si="4"/>
        <v>288.9</v>
      </c>
      <c r="F84" s="133">
        <f t="shared" si="2"/>
        <v>303.3</v>
      </c>
      <c r="G84" s="135">
        <f t="shared" si="3"/>
        <v>1154</v>
      </c>
    </row>
    <row r="85" ht="14.25" customHeight="1">
      <c r="A85" s="131">
        <v>81.0</v>
      </c>
      <c r="B85" s="132">
        <v>48181.0</v>
      </c>
      <c r="C85" s="146"/>
      <c r="D85" s="135">
        <f t="shared" si="1"/>
        <v>11.5</v>
      </c>
      <c r="E85" s="135">
        <f t="shared" si="4"/>
        <v>288.9</v>
      </c>
      <c r="F85" s="133">
        <f t="shared" si="2"/>
        <v>300.4</v>
      </c>
      <c r="G85" s="135">
        <f t="shared" si="3"/>
        <v>865.1</v>
      </c>
    </row>
    <row r="86" ht="14.25" customHeight="1">
      <c r="A86" s="131">
        <v>82.0</v>
      </c>
      <c r="B86" s="132">
        <v>48211.0</v>
      </c>
      <c r="C86" s="146"/>
      <c r="D86" s="135">
        <f t="shared" si="1"/>
        <v>8.7</v>
      </c>
      <c r="E86" s="135">
        <f t="shared" si="4"/>
        <v>288.9</v>
      </c>
      <c r="F86" s="133">
        <f t="shared" si="2"/>
        <v>297.6</v>
      </c>
      <c r="G86" s="135">
        <f t="shared" si="3"/>
        <v>576.2</v>
      </c>
    </row>
    <row r="87" ht="14.25" customHeight="1">
      <c r="A87" s="131">
        <v>83.0</v>
      </c>
      <c r="B87" s="132">
        <v>48242.0</v>
      </c>
      <c r="C87" s="146"/>
      <c r="D87" s="135">
        <f t="shared" si="1"/>
        <v>5.8</v>
      </c>
      <c r="E87" s="135">
        <f t="shared" si="4"/>
        <v>288.9</v>
      </c>
      <c r="F87" s="133">
        <f t="shared" si="2"/>
        <v>294.7</v>
      </c>
      <c r="G87" s="135">
        <f t="shared" si="3"/>
        <v>287.3</v>
      </c>
    </row>
    <row r="88" ht="14.25" customHeight="1">
      <c r="A88" s="131">
        <v>84.0</v>
      </c>
      <c r="B88" s="132">
        <v>48273.0</v>
      </c>
      <c r="C88" s="146"/>
      <c r="D88" s="135">
        <f t="shared" si="1"/>
        <v>2.9</v>
      </c>
      <c r="E88" s="135">
        <f>ROUNDUP($C$4/84,1)-1.6</f>
        <v>287.3</v>
      </c>
      <c r="F88" s="133">
        <f t="shared" si="2"/>
        <v>290.2</v>
      </c>
      <c r="G88" s="135">
        <f t="shared" si="3"/>
        <v>0</v>
      </c>
    </row>
    <row r="89" ht="14.25" customHeight="1">
      <c r="A89" s="129" t="s">
        <v>252</v>
      </c>
      <c r="B89" s="2"/>
      <c r="C89" s="3"/>
      <c r="D89" s="147">
        <f t="shared" ref="D89:F89" si="5">+SUM(D5:D88)</f>
        <v>10312.5</v>
      </c>
      <c r="E89" s="147">
        <f t="shared" si="5"/>
        <v>24266</v>
      </c>
      <c r="F89" s="147">
        <f t="shared" si="5"/>
        <v>34578.5</v>
      </c>
      <c r="G89" s="148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356</v>
      </c>
      <c r="B1" s="2"/>
      <c r="C1" s="2"/>
      <c r="D1" s="2"/>
      <c r="E1" s="2"/>
      <c r="F1" s="2"/>
      <c r="G1" s="3"/>
    </row>
    <row r="2" ht="14.25" customHeight="1">
      <c r="A2" s="129" t="s">
        <v>357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45259.0</v>
      </c>
      <c r="C4" s="133">
        <f>+J7</f>
        <v>33883.7</v>
      </c>
      <c r="D4" s="134">
        <v>0.01</v>
      </c>
      <c r="E4" s="135"/>
      <c r="F4" s="135"/>
      <c r="G4" s="135">
        <f>+C4</f>
        <v>33883.7</v>
      </c>
    </row>
    <row r="5" ht="14.25" customHeight="1">
      <c r="A5" s="136">
        <v>1.0</v>
      </c>
      <c r="B5" s="137">
        <v>45289.0</v>
      </c>
      <c r="C5" s="138"/>
      <c r="D5" s="138">
        <f t="shared" ref="D5:D88" si="1">+ROUND(G4*0.01,1)</f>
        <v>338.8</v>
      </c>
      <c r="E5" s="138">
        <f>ROUNDUP(C4/84,1)</f>
        <v>403.4</v>
      </c>
      <c r="F5" s="139">
        <f t="shared" ref="F5:F88" si="2">+ROUND(D5+E5,1)</f>
        <v>742.2</v>
      </c>
      <c r="G5" s="138">
        <f t="shared" ref="G5:G88" si="3">+ROUND(G4-E5,1)</f>
        <v>33480.3</v>
      </c>
      <c r="I5" s="140" t="s">
        <v>209</v>
      </c>
      <c r="J5" s="141">
        <v>33883.7</v>
      </c>
    </row>
    <row r="6" ht="14.25" customHeight="1">
      <c r="A6" s="136">
        <v>2.0</v>
      </c>
      <c r="B6" s="137">
        <v>45320.0</v>
      </c>
      <c r="C6" s="144"/>
      <c r="D6" s="138">
        <f t="shared" si="1"/>
        <v>334.8</v>
      </c>
      <c r="E6" s="138">
        <f t="shared" ref="E6:E69" si="4">ROUNDUP($C$4/84,1)</f>
        <v>403.4</v>
      </c>
      <c r="F6" s="139">
        <f t="shared" si="2"/>
        <v>738.2</v>
      </c>
      <c r="G6" s="138">
        <f t="shared" si="3"/>
        <v>33076.9</v>
      </c>
      <c r="I6" s="140" t="s">
        <v>331</v>
      </c>
      <c r="J6" s="141">
        <v>0.0</v>
      </c>
    </row>
    <row r="7" ht="14.25" customHeight="1">
      <c r="A7" s="136">
        <v>3.0</v>
      </c>
      <c r="B7" s="137">
        <v>45351.0</v>
      </c>
      <c r="C7" s="144"/>
      <c r="D7" s="138">
        <f t="shared" si="1"/>
        <v>330.8</v>
      </c>
      <c r="E7" s="138">
        <f t="shared" si="4"/>
        <v>403.4</v>
      </c>
      <c r="F7" s="139">
        <f t="shared" si="2"/>
        <v>734.2</v>
      </c>
      <c r="G7" s="138">
        <f t="shared" si="3"/>
        <v>32673.5</v>
      </c>
      <c r="I7" s="142" t="s">
        <v>252</v>
      </c>
      <c r="J7" s="143">
        <f>+SUM(J5:J6)</f>
        <v>33883.7</v>
      </c>
    </row>
    <row r="8" ht="14.25" customHeight="1">
      <c r="A8" s="136">
        <v>4.0</v>
      </c>
      <c r="B8" s="137">
        <v>45380.0</v>
      </c>
      <c r="C8" s="144"/>
      <c r="D8" s="138">
        <f t="shared" si="1"/>
        <v>326.7</v>
      </c>
      <c r="E8" s="138">
        <f t="shared" si="4"/>
        <v>403.4</v>
      </c>
      <c r="F8" s="139">
        <f t="shared" si="2"/>
        <v>730.1</v>
      </c>
      <c r="G8" s="138">
        <f t="shared" si="3"/>
        <v>32270.1</v>
      </c>
    </row>
    <row r="9" ht="14.25" customHeight="1">
      <c r="A9" s="136">
        <v>5.0</v>
      </c>
      <c r="B9" s="137">
        <v>45411.0</v>
      </c>
      <c r="C9" s="144"/>
      <c r="D9" s="138">
        <f t="shared" si="1"/>
        <v>322.7</v>
      </c>
      <c r="E9" s="138">
        <f t="shared" si="4"/>
        <v>403.4</v>
      </c>
      <c r="F9" s="139">
        <f t="shared" si="2"/>
        <v>726.1</v>
      </c>
      <c r="G9" s="138">
        <f t="shared" si="3"/>
        <v>31866.7</v>
      </c>
    </row>
    <row r="10" ht="14.25" customHeight="1">
      <c r="A10" s="136">
        <v>6.0</v>
      </c>
      <c r="B10" s="137">
        <v>45441.0</v>
      </c>
      <c r="C10" s="144"/>
      <c r="D10" s="138">
        <f t="shared" si="1"/>
        <v>318.7</v>
      </c>
      <c r="E10" s="138">
        <f t="shared" si="4"/>
        <v>403.4</v>
      </c>
      <c r="F10" s="139">
        <f t="shared" si="2"/>
        <v>722.1</v>
      </c>
      <c r="G10" s="138">
        <f t="shared" si="3"/>
        <v>31463.3</v>
      </c>
    </row>
    <row r="11" ht="14.25" customHeight="1">
      <c r="A11" s="136">
        <v>7.0</v>
      </c>
      <c r="B11" s="137">
        <v>45472.0</v>
      </c>
      <c r="C11" s="144"/>
      <c r="D11" s="138">
        <f t="shared" si="1"/>
        <v>314.6</v>
      </c>
      <c r="E11" s="138">
        <f t="shared" si="4"/>
        <v>403.4</v>
      </c>
      <c r="F11" s="139">
        <f t="shared" si="2"/>
        <v>718</v>
      </c>
      <c r="G11" s="138">
        <f t="shared" si="3"/>
        <v>31059.9</v>
      </c>
    </row>
    <row r="12" ht="14.25" customHeight="1">
      <c r="A12" s="136">
        <v>8.0</v>
      </c>
      <c r="B12" s="137">
        <v>45502.0</v>
      </c>
      <c r="C12" s="144"/>
      <c r="D12" s="138">
        <f t="shared" si="1"/>
        <v>310.6</v>
      </c>
      <c r="E12" s="138">
        <f t="shared" si="4"/>
        <v>403.4</v>
      </c>
      <c r="F12" s="139">
        <f t="shared" si="2"/>
        <v>714</v>
      </c>
      <c r="G12" s="138">
        <f t="shared" si="3"/>
        <v>30656.5</v>
      </c>
    </row>
    <row r="13" ht="14.25" customHeight="1">
      <c r="A13" s="136">
        <v>9.0</v>
      </c>
      <c r="B13" s="137">
        <v>45533.0</v>
      </c>
      <c r="C13" s="144"/>
      <c r="D13" s="138">
        <f t="shared" si="1"/>
        <v>306.6</v>
      </c>
      <c r="E13" s="138">
        <f t="shared" si="4"/>
        <v>403.4</v>
      </c>
      <c r="F13" s="139">
        <f t="shared" si="2"/>
        <v>710</v>
      </c>
      <c r="G13" s="138">
        <f t="shared" si="3"/>
        <v>30253.1</v>
      </c>
    </row>
    <row r="14" ht="14.25" customHeight="1">
      <c r="A14" s="136">
        <v>10.0</v>
      </c>
      <c r="B14" s="137">
        <v>45564.0</v>
      </c>
      <c r="C14" s="144"/>
      <c r="D14" s="138">
        <f t="shared" si="1"/>
        <v>302.5</v>
      </c>
      <c r="E14" s="138">
        <f t="shared" si="4"/>
        <v>403.4</v>
      </c>
      <c r="F14" s="139">
        <f t="shared" si="2"/>
        <v>705.9</v>
      </c>
      <c r="G14" s="138">
        <f t="shared" si="3"/>
        <v>29849.7</v>
      </c>
    </row>
    <row r="15" ht="14.25" customHeight="1">
      <c r="A15" s="136">
        <v>11.0</v>
      </c>
      <c r="B15" s="137">
        <v>45594.0</v>
      </c>
      <c r="C15" s="144"/>
      <c r="D15" s="138">
        <f t="shared" si="1"/>
        <v>298.5</v>
      </c>
      <c r="E15" s="138">
        <f t="shared" si="4"/>
        <v>403.4</v>
      </c>
      <c r="F15" s="139">
        <f t="shared" si="2"/>
        <v>701.9</v>
      </c>
      <c r="G15" s="138">
        <f t="shared" si="3"/>
        <v>29446.3</v>
      </c>
    </row>
    <row r="16" ht="14.25" customHeight="1">
      <c r="A16" s="136">
        <v>12.0</v>
      </c>
      <c r="B16" s="137">
        <v>45625.0</v>
      </c>
      <c r="C16" s="144"/>
      <c r="D16" s="138">
        <f t="shared" si="1"/>
        <v>294.5</v>
      </c>
      <c r="E16" s="138">
        <f t="shared" si="4"/>
        <v>403.4</v>
      </c>
      <c r="F16" s="139">
        <f t="shared" si="2"/>
        <v>697.9</v>
      </c>
      <c r="G16" s="138">
        <f t="shared" si="3"/>
        <v>29042.9</v>
      </c>
    </row>
    <row r="17" ht="14.25" customHeight="1">
      <c r="A17" s="136">
        <v>13.0</v>
      </c>
      <c r="B17" s="137">
        <v>45655.0</v>
      </c>
      <c r="C17" s="144"/>
      <c r="D17" s="138">
        <f t="shared" si="1"/>
        <v>290.4</v>
      </c>
      <c r="E17" s="138">
        <f t="shared" si="4"/>
        <v>403.4</v>
      </c>
      <c r="F17" s="139">
        <f t="shared" si="2"/>
        <v>693.8</v>
      </c>
      <c r="G17" s="138">
        <f t="shared" si="3"/>
        <v>28639.5</v>
      </c>
    </row>
    <row r="18" ht="14.25" customHeight="1">
      <c r="A18" s="136">
        <v>14.0</v>
      </c>
      <c r="B18" s="137">
        <v>45686.0</v>
      </c>
      <c r="C18" s="144"/>
      <c r="D18" s="138">
        <f t="shared" si="1"/>
        <v>286.4</v>
      </c>
      <c r="E18" s="138">
        <f t="shared" si="4"/>
        <v>403.4</v>
      </c>
      <c r="F18" s="139">
        <f t="shared" si="2"/>
        <v>689.8</v>
      </c>
      <c r="G18" s="138">
        <f t="shared" si="3"/>
        <v>28236.1</v>
      </c>
    </row>
    <row r="19" ht="14.25" customHeight="1">
      <c r="A19" s="136">
        <v>15.0</v>
      </c>
      <c r="B19" s="137">
        <v>45716.0</v>
      </c>
      <c r="C19" s="144"/>
      <c r="D19" s="138">
        <f t="shared" si="1"/>
        <v>282.4</v>
      </c>
      <c r="E19" s="138">
        <f t="shared" si="4"/>
        <v>403.4</v>
      </c>
      <c r="F19" s="139">
        <f t="shared" si="2"/>
        <v>685.8</v>
      </c>
      <c r="G19" s="138">
        <f t="shared" si="3"/>
        <v>27832.7</v>
      </c>
    </row>
    <row r="20" ht="14.25" customHeight="1">
      <c r="A20" s="136">
        <v>16.0</v>
      </c>
      <c r="B20" s="137">
        <v>45745.0</v>
      </c>
      <c r="C20" s="144"/>
      <c r="D20" s="138">
        <f t="shared" si="1"/>
        <v>278.3</v>
      </c>
      <c r="E20" s="138">
        <f t="shared" si="4"/>
        <v>403.4</v>
      </c>
      <c r="F20" s="139">
        <f t="shared" si="2"/>
        <v>681.7</v>
      </c>
      <c r="G20" s="138">
        <f t="shared" si="3"/>
        <v>27429.3</v>
      </c>
    </row>
    <row r="21" ht="14.25" customHeight="1">
      <c r="A21" s="136">
        <v>17.0</v>
      </c>
      <c r="B21" s="137">
        <v>45776.0</v>
      </c>
      <c r="C21" s="144"/>
      <c r="D21" s="138">
        <f t="shared" si="1"/>
        <v>274.3</v>
      </c>
      <c r="E21" s="138">
        <f t="shared" si="4"/>
        <v>403.4</v>
      </c>
      <c r="F21" s="139">
        <f t="shared" si="2"/>
        <v>677.7</v>
      </c>
      <c r="G21" s="138">
        <f t="shared" si="3"/>
        <v>27025.9</v>
      </c>
    </row>
    <row r="22" ht="14.25" customHeight="1">
      <c r="A22" s="136">
        <v>18.0</v>
      </c>
      <c r="B22" s="137">
        <v>45806.0</v>
      </c>
      <c r="C22" s="144"/>
      <c r="D22" s="138">
        <f t="shared" si="1"/>
        <v>270.3</v>
      </c>
      <c r="E22" s="138">
        <f t="shared" si="4"/>
        <v>403.4</v>
      </c>
      <c r="F22" s="139">
        <f t="shared" si="2"/>
        <v>673.7</v>
      </c>
      <c r="G22" s="138">
        <f t="shared" si="3"/>
        <v>26622.5</v>
      </c>
    </row>
    <row r="23" ht="14.25" customHeight="1">
      <c r="A23" s="136">
        <v>19.0</v>
      </c>
      <c r="B23" s="137">
        <v>45837.0</v>
      </c>
      <c r="C23" s="144"/>
      <c r="D23" s="138">
        <f t="shared" si="1"/>
        <v>266.2</v>
      </c>
      <c r="E23" s="138">
        <f t="shared" si="4"/>
        <v>403.4</v>
      </c>
      <c r="F23" s="139">
        <f t="shared" si="2"/>
        <v>669.6</v>
      </c>
      <c r="G23" s="138">
        <f t="shared" si="3"/>
        <v>26219.1</v>
      </c>
    </row>
    <row r="24" ht="14.25" customHeight="1">
      <c r="A24" s="136">
        <v>20.0</v>
      </c>
      <c r="B24" s="137">
        <v>45867.0</v>
      </c>
      <c r="C24" s="144"/>
      <c r="D24" s="138">
        <f t="shared" si="1"/>
        <v>262.2</v>
      </c>
      <c r="E24" s="138">
        <f t="shared" si="4"/>
        <v>403.4</v>
      </c>
      <c r="F24" s="139">
        <f t="shared" si="2"/>
        <v>665.6</v>
      </c>
      <c r="G24" s="138">
        <f t="shared" si="3"/>
        <v>25815.7</v>
      </c>
    </row>
    <row r="25" ht="14.25" customHeight="1">
      <c r="A25" s="136">
        <v>21.0</v>
      </c>
      <c r="B25" s="137">
        <v>45898.0</v>
      </c>
      <c r="C25" s="144"/>
      <c r="D25" s="138">
        <f t="shared" si="1"/>
        <v>258.2</v>
      </c>
      <c r="E25" s="138">
        <f t="shared" si="4"/>
        <v>403.4</v>
      </c>
      <c r="F25" s="139">
        <f t="shared" si="2"/>
        <v>661.6</v>
      </c>
      <c r="G25" s="138">
        <f t="shared" si="3"/>
        <v>25412.3</v>
      </c>
    </row>
    <row r="26" ht="14.25" customHeight="1">
      <c r="A26" s="136">
        <v>22.0</v>
      </c>
      <c r="B26" s="137">
        <v>45929.0</v>
      </c>
      <c r="C26" s="144"/>
      <c r="D26" s="138">
        <f t="shared" si="1"/>
        <v>254.1</v>
      </c>
      <c r="E26" s="138">
        <f t="shared" si="4"/>
        <v>403.4</v>
      </c>
      <c r="F26" s="139">
        <f t="shared" si="2"/>
        <v>657.5</v>
      </c>
      <c r="G26" s="138">
        <f t="shared" si="3"/>
        <v>25008.9</v>
      </c>
    </row>
    <row r="27" ht="14.25" customHeight="1">
      <c r="A27" s="136">
        <v>23.0</v>
      </c>
      <c r="B27" s="137">
        <v>45959.0</v>
      </c>
      <c r="C27" s="145"/>
      <c r="D27" s="138">
        <f t="shared" si="1"/>
        <v>250.1</v>
      </c>
      <c r="E27" s="138">
        <f t="shared" si="4"/>
        <v>403.4</v>
      </c>
      <c r="F27" s="139">
        <f t="shared" si="2"/>
        <v>653.5</v>
      </c>
      <c r="G27" s="138">
        <f t="shared" si="3"/>
        <v>24605.5</v>
      </c>
    </row>
    <row r="28" ht="14.25" customHeight="1">
      <c r="A28" s="136">
        <v>24.0</v>
      </c>
      <c r="B28" s="137">
        <v>45990.0</v>
      </c>
      <c r="C28" s="145"/>
      <c r="D28" s="138">
        <f t="shared" si="1"/>
        <v>246.1</v>
      </c>
      <c r="E28" s="138">
        <f t="shared" si="4"/>
        <v>403.4</v>
      </c>
      <c r="F28" s="139">
        <f t="shared" si="2"/>
        <v>649.5</v>
      </c>
      <c r="G28" s="138">
        <f t="shared" si="3"/>
        <v>24202.1</v>
      </c>
    </row>
    <row r="29" ht="14.25" customHeight="1">
      <c r="A29" s="136">
        <v>25.0</v>
      </c>
      <c r="B29" s="137">
        <v>46020.0</v>
      </c>
      <c r="C29" s="145"/>
      <c r="D29" s="138">
        <f t="shared" si="1"/>
        <v>242</v>
      </c>
      <c r="E29" s="138">
        <f t="shared" si="4"/>
        <v>403.4</v>
      </c>
      <c r="F29" s="139">
        <f t="shared" si="2"/>
        <v>645.4</v>
      </c>
      <c r="G29" s="138">
        <f t="shared" si="3"/>
        <v>23798.7</v>
      </c>
    </row>
    <row r="30" ht="14.25" customHeight="1">
      <c r="A30" s="131">
        <v>26.0</v>
      </c>
      <c r="B30" s="132">
        <v>46051.0</v>
      </c>
      <c r="C30" s="146"/>
      <c r="D30" s="135">
        <f t="shared" si="1"/>
        <v>238</v>
      </c>
      <c r="E30" s="135">
        <f t="shared" si="4"/>
        <v>403.4</v>
      </c>
      <c r="F30" s="133">
        <f t="shared" si="2"/>
        <v>641.4</v>
      </c>
      <c r="G30" s="135">
        <f t="shared" si="3"/>
        <v>23395.3</v>
      </c>
    </row>
    <row r="31" ht="14.25" customHeight="1">
      <c r="A31" s="131">
        <v>27.0</v>
      </c>
      <c r="B31" s="132">
        <v>46081.0</v>
      </c>
      <c r="C31" s="146"/>
      <c r="D31" s="135">
        <f t="shared" si="1"/>
        <v>234</v>
      </c>
      <c r="E31" s="135">
        <f t="shared" si="4"/>
        <v>403.4</v>
      </c>
      <c r="F31" s="133">
        <f t="shared" si="2"/>
        <v>637.4</v>
      </c>
      <c r="G31" s="135">
        <f t="shared" si="3"/>
        <v>22991.9</v>
      </c>
    </row>
    <row r="32" ht="14.25" customHeight="1">
      <c r="A32" s="131">
        <v>28.0</v>
      </c>
      <c r="B32" s="132">
        <v>46110.0</v>
      </c>
      <c r="C32" s="146"/>
      <c r="D32" s="135">
        <f t="shared" si="1"/>
        <v>229.9</v>
      </c>
      <c r="E32" s="135">
        <f t="shared" si="4"/>
        <v>403.4</v>
      </c>
      <c r="F32" s="133">
        <f t="shared" si="2"/>
        <v>633.3</v>
      </c>
      <c r="G32" s="135">
        <f t="shared" si="3"/>
        <v>22588.5</v>
      </c>
    </row>
    <row r="33" ht="14.25" customHeight="1">
      <c r="A33" s="131">
        <v>29.0</v>
      </c>
      <c r="B33" s="132">
        <v>46141.0</v>
      </c>
      <c r="C33" s="146"/>
      <c r="D33" s="135">
        <f t="shared" si="1"/>
        <v>225.9</v>
      </c>
      <c r="E33" s="135">
        <f t="shared" si="4"/>
        <v>403.4</v>
      </c>
      <c r="F33" s="133">
        <f t="shared" si="2"/>
        <v>629.3</v>
      </c>
      <c r="G33" s="135">
        <f t="shared" si="3"/>
        <v>22185.1</v>
      </c>
    </row>
    <row r="34" ht="14.25" customHeight="1">
      <c r="A34" s="131">
        <v>30.0</v>
      </c>
      <c r="B34" s="132">
        <v>46171.0</v>
      </c>
      <c r="C34" s="146"/>
      <c r="D34" s="135">
        <f t="shared" si="1"/>
        <v>221.9</v>
      </c>
      <c r="E34" s="135">
        <f t="shared" si="4"/>
        <v>403.4</v>
      </c>
      <c r="F34" s="133">
        <f t="shared" si="2"/>
        <v>625.3</v>
      </c>
      <c r="G34" s="135">
        <f t="shared" si="3"/>
        <v>21781.7</v>
      </c>
    </row>
    <row r="35" ht="14.25" customHeight="1">
      <c r="A35" s="131">
        <v>31.0</v>
      </c>
      <c r="B35" s="132">
        <v>46202.0</v>
      </c>
      <c r="C35" s="146"/>
      <c r="D35" s="135">
        <f t="shared" si="1"/>
        <v>217.8</v>
      </c>
      <c r="E35" s="135">
        <f t="shared" si="4"/>
        <v>403.4</v>
      </c>
      <c r="F35" s="133">
        <f t="shared" si="2"/>
        <v>621.2</v>
      </c>
      <c r="G35" s="135">
        <f t="shared" si="3"/>
        <v>21378.3</v>
      </c>
    </row>
    <row r="36" ht="14.25" customHeight="1">
      <c r="A36" s="131">
        <v>32.0</v>
      </c>
      <c r="B36" s="132">
        <v>46232.0</v>
      </c>
      <c r="C36" s="146"/>
      <c r="D36" s="135">
        <f t="shared" si="1"/>
        <v>213.8</v>
      </c>
      <c r="E36" s="135">
        <f t="shared" si="4"/>
        <v>403.4</v>
      </c>
      <c r="F36" s="133">
        <f t="shared" si="2"/>
        <v>617.2</v>
      </c>
      <c r="G36" s="135">
        <f t="shared" si="3"/>
        <v>20974.9</v>
      </c>
    </row>
    <row r="37" ht="14.25" customHeight="1">
      <c r="A37" s="131">
        <v>33.0</v>
      </c>
      <c r="B37" s="132">
        <v>46263.0</v>
      </c>
      <c r="C37" s="146"/>
      <c r="D37" s="135">
        <f t="shared" si="1"/>
        <v>209.7</v>
      </c>
      <c r="E37" s="135">
        <f t="shared" si="4"/>
        <v>403.4</v>
      </c>
      <c r="F37" s="133">
        <f t="shared" si="2"/>
        <v>613.1</v>
      </c>
      <c r="G37" s="135">
        <f t="shared" si="3"/>
        <v>20571.5</v>
      </c>
    </row>
    <row r="38" ht="14.25" customHeight="1">
      <c r="A38" s="131">
        <v>34.0</v>
      </c>
      <c r="B38" s="132">
        <v>46294.0</v>
      </c>
      <c r="C38" s="146"/>
      <c r="D38" s="135">
        <f t="shared" si="1"/>
        <v>205.7</v>
      </c>
      <c r="E38" s="135">
        <f t="shared" si="4"/>
        <v>403.4</v>
      </c>
      <c r="F38" s="133">
        <f t="shared" si="2"/>
        <v>609.1</v>
      </c>
      <c r="G38" s="135">
        <f t="shared" si="3"/>
        <v>20168.1</v>
      </c>
    </row>
    <row r="39" ht="14.25" customHeight="1">
      <c r="A39" s="131">
        <v>35.0</v>
      </c>
      <c r="B39" s="132">
        <v>46324.0</v>
      </c>
      <c r="C39" s="146"/>
      <c r="D39" s="135">
        <f t="shared" si="1"/>
        <v>201.7</v>
      </c>
      <c r="E39" s="135">
        <f t="shared" si="4"/>
        <v>403.4</v>
      </c>
      <c r="F39" s="133">
        <f t="shared" si="2"/>
        <v>605.1</v>
      </c>
      <c r="G39" s="135">
        <f t="shared" si="3"/>
        <v>19764.7</v>
      </c>
    </row>
    <row r="40" ht="14.25" customHeight="1">
      <c r="A40" s="131">
        <v>36.0</v>
      </c>
      <c r="B40" s="132">
        <v>46355.0</v>
      </c>
      <c r="C40" s="146"/>
      <c r="D40" s="135">
        <f t="shared" si="1"/>
        <v>197.6</v>
      </c>
      <c r="E40" s="135">
        <f t="shared" si="4"/>
        <v>403.4</v>
      </c>
      <c r="F40" s="133">
        <f t="shared" si="2"/>
        <v>601</v>
      </c>
      <c r="G40" s="135">
        <f t="shared" si="3"/>
        <v>19361.3</v>
      </c>
    </row>
    <row r="41" ht="14.25" customHeight="1">
      <c r="A41" s="131">
        <v>37.0</v>
      </c>
      <c r="B41" s="132">
        <v>46385.0</v>
      </c>
      <c r="C41" s="146"/>
      <c r="D41" s="135">
        <f t="shared" si="1"/>
        <v>193.6</v>
      </c>
      <c r="E41" s="135">
        <f t="shared" si="4"/>
        <v>403.4</v>
      </c>
      <c r="F41" s="133">
        <f t="shared" si="2"/>
        <v>597</v>
      </c>
      <c r="G41" s="135">
        <f t="shared" si="3"/>
        <v>18957.9</v>
      </c>
    </row>
    <row r="42" ht="14.25" customHeight="1">
      <c r="A42" s="131">
        <v>38.0</v>
      </c>
      <c r="B42" s="132">
        <v>46416.0</v>
      </c>
      <c r="C42" s="146"/>
      <c r="D42" s="135">
        <f t="shared" si="1"/>
        <v>189.6</v>
      </c>
      <c r="E42" s="135">
        <f t="shared" si="4"/>
        <v>403.4</v>
      </c>
      <c r="F42" s="133">
        <f t="shared" si="2"/>
        <v>593</v>
      </c>
      <c r="G42" s="135">
        <f t="shared" si="3"/>
        <v>18554.5</v>
      </c>
    </row>
    <row r="43" ht="14.25" customHeight="1">
      <c r="A43" s="131">
        <v>39.0</v>
      </c>
      <c r="B43" s="132">
        <v>46446.0</v>
      </c>
      <c r="C43" s="146"/>
      <c r="D43" s="135">
        <f t="shared" si="1"/>
        <v>185.5</v>
      </c>
      <c r="E43" s="135">
        <f t="shared" si="4"/>
        <v>403.4</v>
      </c>
      <c r="F43" s="133">
        <f t="shared" si="2"/>
        <v>588.9</v>
      </c>
      <c r="G43" s="135">
        <f t="shared" si="3"/>
        <v>18151.1</v>
      </c>
    </row>
    <row r="44" ht="14.25" customHeight="1">
      <c r="A44" s="131">
        <v>40.0</v>
      </c>
      <c r="B44" s="132">
        <v>46475.0</v>
      </c>
      <c r="C44" s="146"/>
      <c r="D44" s="135">
        <f t="shared" si="1"/>
        <v>181.5</v>
      </c>
      <c r="E44" s="135">
        <f t="shared" si="4"/>
        <v>403.4</v>
      </c>
      <c r="F44" s="133">
        <f t="shared" si="2"/>
        <v>584.9</v>
      </c>
      <c r="G44" s="135">
        <f t="shared" si="3"/>
        <v>17747.7</v>
      </c>
    </row>
    <row r="45" ht="14.25" customHeight="1">
      <c r="A45" s="131">
        <v>41.0</v>
      </c>
      <c r="B45" s="132">
        <v>46506.0</v>
      </c>
      <c r="C45" s="146"/>
      <c r="D45" s="135">
        <f t="shared" si="1"/>
        <v>177.5</v>
      </c>
      <c r="E45" s="135">
        <f t="shared" si="4"/>
        <v>403.4</v>
      </c>
      <c r="F45" s="133">
        <f t="shared" si="2"/>
        <v>580.9</v>
      </c>
      <c r="G45" s="135">
        <f t="shared" si="3"/>
        <v>17344.3</v>
      </c>
    </row>
    <row r="46" ht="14.25" customHeight="1">
      <c r="A46" s="131">
        <v>42.0</v>
      </c>
      <c r="B46" s="132">
        <v>46536.0</v>
      </c>
      <c r="C46" s="146"/>
      <c r="D46" s="135">
        <f t="shared" si="1"/>
        <v>173.4</v>
      </c>
      <c r="E46" s="135">
        <f t="shared" si="4"/>
        <v>403.4</v>
      </c>
      <c r="F46" s="133">
        <f t="shared" si="2"/>
        <v>576.8</v>
      </c>
      <c r="G46" s="135">
        <f t="shared" si="3"/>
        <v>16940.9</v>
      </c>
    </row>
    <row r="47" ht="14.25" customHeight="1">
      <c r="A47" s="131">
        <v>43.0</v>
      </c>
      <c r="B47" s="132">
        <v>46567.0</v>
      </c>
      <c r="C47" s="146"/>
      <c r="D47" s="135">
        <f t="shared" si="1"/>
        <v>169.4</v>
      </c>
      <c r="E47" s="135">
        <f t="shared" si="4"/>
        <v>403.4</v>
      </c>
      <c r="F47" s="133">
        <f t="shared" si="2"/>
        <v>572.8</v>
      </c>
      <c r="G47" s="135">
        <f t="shared" si="3"/>
        <v>16537.5</v>
      </c>
    </row>
    <row r="48" ht="14.25" customHeight="1">
      <c r="A48" s="131">
        <v>44.0</v>
      </c>
      <c r="B48" s="132">
        <v>46597.0</v>
      </c>
      <c r="C48" s="146"/>
      <c r="D48" s="135">
        <f t="shared" si="1"/>
        <v>165.4</v>
      </c>
      <c r="E48" s="135">
        <f t="shared" si="4"/>
        <v>403.4</v>
      </c>
      <c r="F48" s="133">
        <f t="shared" si="2"/>
        <v>568.8</v>
      </c>
      <c r="G48" s="135">
        <f t="shared" si="3"/>
        <v>16134.1</v>
      </c>
    </row>
    <row r="49" ht="14.25" customHeight="1">
      <c r="A49" s="131">
        <v>45.0</v>
      </c>
      <c r="B49" s="132">
        <v>46628.0</v>
      </c>
      <c r="C49" s="146"/>
      <c r="D49" s="135">
        <f t="shared" si="1"/>
        <v>161.3</v>
      </c>
      <c r="E49" s="135">
        <f t="shared" si="4"/>
        <v>403.4</v>
      </c>
      <c r="F49" s="133">
        <f t="shared" si="2"/>
        <v>564.7</v>
      </c>
      <c r="G49" s="135">
        <f t="shared" si="3"/>
        <v>15730.7</v>
      </c>
    </row>
    <row r="50" ht="14.25" customHeight="1">
      <c r="A50" s="131">
        <v>46.0</v>
      </c>
      <c r="B50" s="132">
        <v>46659.0</v>
      </c>
      <c r="C50" s="146"/>
      <c r="D50" s="135">
        <f t="shared" si="1"/>
        <v>157.3</v>
      </c>
      <c r="E50" s="135">
        <f t="shared" si="4"/>
        <v>403.4</v>
      </c>
      <c r="F50" s="133">
        <f t="shared" si="2"/>
        <v>560.7</v>
      </c>
      <c r="G50" s="135">
        <f t="shared" si="3"/>
        <v>15327.3</v>
      </c>
    </row>
    <row r="51" ht="14.25" customHeight="1">
      <c r="A51" s="131">
        <v>47.0</v>
      </c>
      <c r="B51" s="132">
        <v>46689.0</v>
      </c>
      <c r="C51" s="146"/>
      <c r="D51" s="135">
        <f t="shared" si="1"/>
        <v>153.3</v>
      </c>
      <c r="E51" s="135">
        <f t="shared" si="4"/>
        <v>403.4</v>
      </c>
      <c r="F51" s="133">
        <f t="shared" si="2"/>
        <v>556.7</v>
      </c>
      <c r="G51" s="135">
        <f t="shared" si="3"/>
        <v>14923.9</v>
      </c>
    </row>
    <row r="52" ht="14.25" customHeight="1">
      <c r="A52" s="131">
        <v>48.0</v>
      </c>
      <c r="B52" s="132">
        <v>46720.0</v>
      </c>
      <c r="C52" s="146"/>
      <c r="D52" s="135">
        <f t="shared" si="1"/>
        <v>149.2</v>
      </c>
      <c r="E52" s="135">
        <f t="shared" si="4"/>
        <v>403.4</v>
      </c>
      <c r="F52" s="133">
        <f t="shared" si="2"/>
        <v>552.6</v>
      </c>
      <c r="G52" s="135">
        <f t="shared" si="3"/>
        <v>14520.5</v>
      </c>
    </row>
    <row r="53" ht="14.25" customHeight="1">
      <c r="A53" s="131">
        <v>49.0</v>
      </c>
      <c r="B53" s="132">
        <v>46750.0</v>
      </c>
      <c r="C53" s="146"/>
      <c r="D53" s="135">
        <f t="shared" si="1"/>
        <v>145.2</v>
      </c>
      <c r="E53" s="135">
        <f t="shared" si="4"/>
        <v>403.4</v>
      </c>
      <c r="F53" s="133">
        <f t="shared" si="2"/>
        <v>548.6</v>
      </c>
      <c r="G53" s="135">
        <f t="shared" si="3"/>
        <v>14117.1</v>
      </c>
    </row>
    <row r="54" ht="14.25" customHeight="1">
      <c r="A54" s="131">
        <v>50.0</v>
      </c>
      <c r="B54" s="132">
        <v>46781.0</v>
      </c>
      <c r="C54" s="146"/>
      <c r="D54" s="135">
        <f t="shared" si="1"/>
        <v>141.2</v>
      </c>
      <c r="E54" s="135">
        <f t="shared" si="4"/>
        <v>403.4</v>
      </c>
      <c r="F54" s="133">
        <f t="shared" si="2"/>
        <v>544.6</v>
      </c>
      <c r="G54" s="135">
        <f t="shared" si="3"/>
        <v>13713.7</v>
      </c>
    </row>
    <row r="55" ht="14.25" customHeight="1">
      <c r="A55" s="131">
        <v>51.0</v>
      </c>
      <c r="B55" s="132">
        <v>46812.0</v>
      </c>
      <c r="C55" s="146"/>
      <c r="D55" s="135">
        <f t="shared" si="1"/>
        <v>137.1</v>
      </c>
      <c r="E55" s="135">
        <f t="shared" si="4"/>
        <v>403.4</v>
      </c>
      <c r="F55" s="133">
        <f t="shared" si="2"/>
        <v>540.5</v>
      </c>
      <c r="G55" s="135">
        <f t="shared" si="3"/>
        <v>13310.3</v>
      </c>
    </row>
    <row r="56" ht="14.25" customHeight="1">
      <c r="A56" s="131">
        <v>52.0</v>
      </c>
      <c r="B56" s="132">
        <v>46841.0</v>
      </c>
      <c r="C56" s="146"/>
      <c r="D56" s="135">
        <f t="shared" si="1"/>
        <v>133.1</v>
      </c>
      <c r="E56" s="135">
        <f t="shared" si="4"/>
        <v>403.4</v>
      </c>
      <c r="F56" s="133">
        <f t="shared" si="2"/>
        <v>536.5</v>
      </c>
      <c r="G56" s="135">
        <f t="shared" si="3"/>
        <v>12906.9</v>
      </c>
    </row>
    <row r="57" ht="14.25" customHeight="1">
      <c r="A57" s="131">
        <v>53.0</v>
      </c>
      <c r="B57" s="132">
        <v>46872.0</v>
      </c>
      <c r="C57" s="146"/>
      <c r="D57" s="135">
        <f t="shared" si="1"/>
        <v>129.1</v>
      </c>
      <c r="E57" s="135">
        <f t="shared" si="4"/>
        <v>403.4</v>
      </c>
      <c r="F57" s="133">
        <f t="shared" si="2"/>
        <v>532.5</v>
      </c>
      <c r="G57" s="135">
        <f t="shared" si="3"/>
        <v>12503.5</v>
      </c>
    </row>
    <row r="58" ht="14.25" customHeight="1">
      <c r="A58" s="131">
        <v>54.0</v>
      </c>
      <c r="B58" s="132">
        <v>46902.0</v>
      </c>
      <c r="C58" s="146"/>
      <c r="D58" s="135">
        <f t="shared" si="1"/>
        <v>125</v>
      </c>
      <c r="E58" s="135">
        <f t="shared" si="4"/>
        <v>403.4</v>
      </c>
      <c r="F58" s="133">
        <f t="shared" si="2"/>
        <v>528.4</v>
      </c>
      <c r="G58" s="135">
        <f t="shared" si="3"/>
        <v>12100.1</v>
      </c>
    </row>
    <row r="59" ht="14.25" customHeight="1">
      <c r="A59" s="131">
        <v>55.0</v>
      </c>
      <c r="B59" s="132">
        <v>46933.0</v>
      </c>
      <c r="C59" s="146"/>
      <c r="D59" s="135">
        <f t="shared" si="1"/>
        <v>121</v>
      </c>
      <c r="E59" s="135">
        <f t="shared" si="4"/>
        <v>403.4</v>
      </c>
      <c r="F59" s="133">
        <f t="shared" si="2"/>
        <v>524.4</v>
      </c>
      <c r="G59" s="135">
        <f t="shared" si="3"/>
        <v>11696.7</v>
      </c>
    </row>
    <row r="60" ht="14.25" customHeight="1">
      <c r="A60" s="131">
        <v>56.0</v>
      </c>
      <c r="B60" s="132">
        <v>46963.0</v>
      </c>
      <c r="C60" s="146"/>
      <c r="D60" s="135">
        <f t="shared" si="1"/>
        <v>117</v>
      </c>
      <c r="E60" s="135">
        <f t="shared" si="4"/>
        <v>403.4</v>
      </c>
      <c r="F60" s="133">
        <f t="shared" si="2"/>
        <v>520.4</v>
      </c>
      <c r="G60" s="135">
        <f t="shared" si="3"/>
        <v>11293.3</v>
      </c>
    </row>
    <row r="61" ht="14.25" customHeight="1">
      <c r="A61" s="131">
        <v>57.0</v>
      </c>
      <c r="B61" s="132">
        <v>46994.0</v>
      </c>
      <c r="C61" s="146"/>
      <c r="D61" s="135">
        <f t="shared" si="1"/>
        <v>112.9</v>
      </c>
      <c r="E61" s="135">
        <f t="shared" si="4"/>
        <v>403.4</v>
      </c>
      <c r="F61" s="133">
        <f t="shared" si="2"/>
        <v>516.3</v>
      </c>
      <c r="G61" s="135">
        <f t="shared" si="3"/>
        <v>10889.9</v>
      </c>
    </row>
    <row r="62" ht="14.25" customHeight="1">
      <c r="A62" s="131">
        <v>58.0</v>
      </c>
      <c r="B62" s="132">
        <v>47025.0</v>
      </c>
      <c r="C62" s="146"/>
      <c r="D62" s="135">
        <f t="shared" si="1"/>
        <v>108.9</v>
      </c>
      <c r="E62" s="135">
        <f t="shared" si="4"/>
        <v>403.4</v>
      </c>
      <c r="F62" s="133">
        <f t="shared" si="2"/>
        <v>512.3</v>
      </c>
      <c r="G62" s="135">
        <f t="shared" si="3"/>
        <v>10486.5</v>
      </c>
    </row>
    <row r="63" ht="14.25" customHeight="1">
      <c r="A63" s="131">
        <v>59.0</v>
      </c>
      <c r="B63" s="132">
        <v>47055.0</v>
      </c>
      <c r="C63" s="146"/>
      <c r="D63" s="135">
        <f t="shared" si="1"/>
        <v>104.9</v>
      </c>
      <c r="E63" s="135">
        <f t="shared" si="4"/>
        <v>403.4</v>
      </c>
      <c r="F63" s="133">
        <f t="shared" si="2"/>
        <v>508.3</v>
      </c>
      <c r="G63" s="135">
        <f t="shared" si="3"/>
        <v>10083.1</v>
      </c>
    </row>
    <row r="64" ht="14.25" customHeight="1">
      <c r="A64" s="131">
        <v>60.0</v>
      </c>
      <c r="B64" s="132">
        <v>47086.0</v>
      </c>
      <c r="C64" s="146"/>
      <c r="D64" s="135">
        <f t="shared" si="1"/>
        <v>100.8</v>
      </c>
      <c r="E64" s="135">
        <f t="shared" si="4"/>
        <v>403.4</v>
      </c>
      <c r="F64" s="133">
        <f t="shared" si="2"/>
        <v>504.2</v>
      </c>
      <c r="G64" s="135">
        <f t="shared" si="3"/>
        <v>9679.7</v>
      </c>
    </row>
    <row r="65" ht="14.25" customHeight="1">
      <c r="A65" s="131">
        <v>61.0</v>
      </c>
      <c r="B65" s="132">
        <v>47116.0</v>
      </c>
      <c r="C65" s="146"/>
      <c r="D65" s="135">
        <f t="shared" si="1"/>
        <v>96.8</v>
      </c>
      <c r="E65" s="135">
        <f t="shared" si="4"/>
        <v>403.4</v>
      </c>
      <c r="F65" s="133">
        <f t="shared" si="2"/>
        <v>500.2</v>
      </c>
      <c r="G65" s="135">
        <f t="shared" si="3"/>
        <v>9276.3</v>
      </c>
    </row>
    <row r="66" ht="14.25" customHeight="1">
      <c r="A66" s="131">
        <v>62.0</v>
      </c>
      <c r="B66" s="132">
        <v>47147.0</v>
      </c>
      <c r="C66" s="146"/>
      <c r="D66" s="135">
        <f t="shared" si="1"/>
        <v>92.8</v>
      </c>
      <c r="E66" s="135">
        <f t="shared" si="4"/>
        <v>403.4</v>
      </c>
      <c r="F66" s="133">
        <f t="shared" si="2"/>
        <v>496.2</v>
      </c>
      <c r="G66" s="135">
        <f t="shared" si="3"/>
        <v>8872.9</v>
      </c>
    </row>
    <row r="67" ht="14.25" customHeight="1">
      <c r="A67" s="131">
        <v>63.0</v>
      </c>
      <c r="B67" s="132">
        <v>47177.0</v>
      </c>
      <c r="C67" s="146"/>
      <c r="D67" s="135">
        <f t="shared" si="1"/>
        <v>88.7</v>
      </c>
      <c r="E67" s="135">
        <f t="shared" si="4"/>
        <v>403.4</v>
      </c>
      <c r="F67" s="133">
        <f t="shared" si="2"/>
        <v>492.1</v>
      </c>
      <c r="G67" s="135">
        <f t="shared" si="3"/>
        <v>8469.5</v>
      </c>
    </row>
    <row r="68" ht="14.25" customHeight="1">
      <c r="A68" s="131">
        <v>64.0</v>
      </c>
      <c r="B68" s="132">
        <v>47206.0</v>
      </c>
      <c r="C68" s="146"/>
      <c r="D68" s="135">
        <f t="shared" si="1"/>
        <v>84.7</v>
      </c>
      <c r="E68" s="135">
        <f t="shared" si="4"/>
        <v>403.4</v>
      </c>
      <c r="F68" s="133">
        <f t="shared" si="2"/>
        <v>488.1</v>
      </c>
      <c r="G68" s="135">
        <f t="shared" si="3"/>
        <v>8066.1</v>
      </c>
    </row>
    <row r="69" ht="14.25" customHeight="1">
      <c r="A69" s="131">
        <v>65.0</v>
      </c>
      <c r="B69" s="132">
        <v>47237.0</v>
      </c>
      <c r="C69" s="146"/>
      <c r="D69" s="135">
        <f t="shared" si="1"/>
        <v>80.7</v>
      </c>
      <c r="E69" s="135">
        <f t="shared" si="4"/>
        <v>403.4</v>
      </c>
      <c r="F69" s="133">
        <f t="shared" si="2"/>
        <v>484.1</v>
      </c>
      <c r="G69" s="135">
        <f t="shared" si="3"/>
        <v>7662.7</v>
      </c>
    </row>
    <row r="70" ht="14.25" customHeight="1">
      <c r="A70" s="131">
        <v>66.0</v>
      </c>
      <c r="B70" s="132">
        <v>47267.0</v>
      </c>
      <c r="C70" s="146"/>
      <c r="D70" s="135">
        <f t="shared" si="1"/>
        <v>76.6</v>
      </c>
      <c r="E70" s="135">
        <f t="shared" ref="E70:E88" si="5">ROUNDDOWN($C$4/84,1)</f>
        <v>403.3</v>
      </c>
      <c r="F70" s="133">
        <f t="shared" si="2"/>
        <v>479.9</v>
      </c>
      <c r="G70" s="135">
        <f t="shared" si="3"/>
        <v>7259.4</v>
      </c>
    </row>
    <row r="71" ht="14.25" customHeight="1">
      <c r="A71" s="131">
        <v>67.0</v>
      </c>
      <c r="B71" s="132">
        <v>47298.0</v>
      </c>
      <c r="C71" s="146"/>
      <c r="D71" s="135">
        <f t="shared" si="1"/>
        <v>72.6</v>
      </c>
      <c r="E71" s="135">
        <f t="shared" si="5"/>
        <v>403.3</v>
      </c>
      <c r="F71" s="133">
        <f t="shared" si="2"/>
        <v>475.9</v>
      </c>
      <c r="G71" s="135">
        <f t="shared" si="3"/>
        <v>6856.1</v>
      </c>
    </row>
    <row r="72" ht="14.25" customHeight="1">
      <c r="A72" s="131">
        <v>68.0</v>
      </c>
      <c r="B72" s="132">
        <v>47328.0</v>
      </c>
      <c r="C72" s="146"/>
      <c r="D72" s="135">
        <f t="shared" si="1"/>
        <v>68.6</v>
      </c>
      <c r="E72" s="135">
        <f t="shared" si="5"/>
        <v>403.3</v>
      </c>
      <c r="F72" s="133">
        <f t="shared" si="2"/>
        <v>471.9</v>
      </c>
      <c r="G72" s="135">
        <f t="shared" si="3"/>
        <v>6452.8</v>
      </c>
    </row>
    <row r="73" ht="14.25" customHeight="1">
      <c r="A73" s="131">
        <v>69.0</v>
      </c>
      <c r="B73" s="132">
        <v>47359.0</v>
      </c>
      <c r="C73" s="146"/>
      <c r="D73" s="135">
        <f t="shared" si="1"/>
        <v>64.5</v>
      </c>
      <c r="E73" s="135">
        <f t="shared" si="5"/>
        <v>403.3</v>
      </c>
      <c r="F73" s="133">
        <f t="shared" si="2"/>
        <v>467.8</v>
      </c>
      <c r="G73" s="135">
        <f t="shared" si="3"/>
        <v>6049.5</v>
      </c>
    </row>
    <row r="74" ht="14.25" customHeight="1">
      <c r="A74" s="131">
        <v>70.0</v>
      </c>
      <c r="B74" s="132">
        <v>47390.0</v>
      </c>
      <c r="C74" s="146"/>
      <c r="D74" s="135">
        <f t="shared" si="1"/>
        <v>60.5</v>
      </c>
      <c r="E74" s="135">
        <f t="shared" si="5"/>
        <v>403.3</v>
      </c>
      <c r="F74" s="133">
        <f t="shared" si="2"/>
        <v>463.8</v>
      </c>
      <c r="G74" s="135">
        <f t="shared" si="3"/>
        <v>5646.2</v>
      </c>
    </row>
    <row r="75" ht="14.25" customHeight="1">
      <c r="A75" s="131">
        <v>71.0</v>
      </c>
      <c r="B75" s="132">
        <v>47420.0</v>
      </c>
      <c r="C75" s="146"/>
      <c r="D75" s="135">
        <f t="shared" si="1"/>
        <v>56.5</v>
      </c>
      <c r="E75" s="135">
        <f t="shared" si="5"/>
        <v>403.3</v>
      </c>
      <c r="F75" s="133">
        <f t="shared" si="2"/>
        <v>459.8</v>
      </c>
      <c r="G75" s="135">
        <f t="shared" si="3"/>
        <v>5242.9</v>
      </c>
    </row>
    <row r="76" ht="14.25" customHeight="1">
      <c r="A76" s="131">
        <v>72.0</v>
      </c>
      <c r="B76" s="132">
        <v>47451.0</v>
      </c>
      <c r="C76" s="146"/>
      <c r="D76" s="135">
        <f t="shared" si="1"/>
        <v>52.4</v>
      </c>
      <c r="E76" s="135">
        <f t="shared" si="5"/>
        <v>403.3</v>
      </c>
      <c r="F76" s="133">
        <f t="shared" si="2"/>
        <v>455.7</v>
      </c>
      <c r="G76" s="135">
        <f t="shared" si="3"/>
        <v>4839.6</v>
      </c>
    </row>
    <row r="77" ht="14.25" customHeight="1">
      <c r="A77" s="131">
        <v>73.0</v>
      </c>
      <c r="B77" s="132">
        <v>47481.0</v>
      </c>
      <c r="C77" s="146"/>
      <c r="D77" s="135">
        <f t="shared" si="1"/>
        <v>48.4</v>
      </c>
      <c r="E77" s="135">
        <f t="shared" si="5"/>
        <v>403.3</v>
      </c>
      <c r="F77" s="133">
        <f t="shared" si="2"/>
        <v>451.7</v>
      </c>
      <c r="G77" s="135">
        <f t="shared" si="3"/>
        <v>4436.3</v>
      </c>
    </row>
    <row r="78" ht="14.25" customHeight="1">
      <c r="A78" s="131">
        <v>74.0</v>
      </c>
      <c r="B78" s="132">
        <v>47512.0</v>
      </c>
      <c r="C78" s="146"/>
      <c r="D78" s="135">
        <f t="shared" si="1"/>
        <v>44.4</v>
      </c>
      <c r="E78" s="135">
        <f t="shared" si="5"/>
        <v>403.3</v>
      </c>
      <c r="F78" s="133">
        <f t="shared" si="2"/>
        <v>447.7</v>
      </c>
      <c r="G78" s="135">
        <f t="shared" si="3"/>
        <v>4033</v>
      </c>
    </row>
    <row r="79" ht="14.25" customHeight="1">
      <c r="A79" s="131">
        <v>75.0</v>
      </c>
      <c r="B79" s="132">
        <v>47542.0</v>
      </c>
      <c r="C79" s="146"/>
      <c r="D79" s="135">
        <f t="shared" si="1"/>
        <v>40.3</v>
      </c>
      <c r="E79" s="135">
        <f t="shared" si="5"/>
        <v>403.3</v>
      </c>
      <c r="F79" s="133">
        <f t="shared" si="2"/>
        <v>443.6</v>
      </c>
      <c r="G79" s="135">
        <f t="shared" si="3"/>
        <v>3629.7</v>
      </c>
    </row>
    <row r="80" ht="14.25" customHeight="1">
      <c r="A80" s="131">
        <v>76.0</v>
      </c>
      <c r="B80" s="132">
        <v>47571.0</v>
      </c>
      <c r="C80" s="146"/>
      <c r="D80" s="135">
        <f t="shared" si="1"/>
        <v>36.3</v>
      </c>
      <c r="E80" s="135">
        <f t="shared" si="5"/>
        <v>403.3</v>
      </c>
      <c r="F80" s="133">
        <f t="shared" si="2"/>
        <v>439.6</v>
      </c>
      <c r="G80" s="135">
        <f t="shared" si="3"/>
        <v>3226.4</v>
      </c>
    </row>
    <row r="81" ht="14.25" customHeight="1">
      <c r="A81" s="131">
        <v>77.0</v>
      </c>
      <c r="B81" s="132">
        <v>47602.0</v>
      </c>
      <c r="C81" s="146"/>
      <c r="D81" s="135">
        <f t="shared" si="1"/>
        <v>32.3</v>
      </c>
      <c r="E81" s="135">
        <f t="shared" si="5"/>
        <v>403.3</v>
      </c>
      <c r="F81" s="133">
        <f t="shared" si="2"/>
        <v>435.6</v>
      </c>
      <c r="G81" s="135">
        <f t="shared" si="3"/>
        <v>2823.1</v>
      </c>
    </row>
    <row r="82" ht="14.25" customHeight="1">
      <c r="A82" s="131">
        <v>78.0</v>
      </c>
      <c r="B82" s="132">
        <v>47632.0</v>
      </c>
      <c r="C82" s="146"/>
      <c r="D82" s="135">
        <f t="shared" si="1"/>
        <v>28.2</v>
      </c>
      <c r="E82" s="135">
        <f t="shared" si="5"/>
        <v>403.3</v>
      </c>
      <c r="F82" s="133">
        <f t="shared" si="2"/>
        <v>431.5</v>
      </c>
      <c r="G82" s="135">
        <f t="shared" si="3"/>
        <v>2419.8</v>
      </c>
    </row>
    <row r="83" ht="14.25" customHeight="1">
      <c r="A83" s="131">
        <v>79.0</v>
      </c>
      <c r="B83" s="132">
        <v>47663.0</v>
      </c>
      <c r="C83" s="146"/>
      <c r="D83" s="135">
        <f t="shared" si="1"/>
        <v>24.2</v>
      </c>
      <c r="E83" s="135">
        <f t="shared" si="5"/>
        <v>403.3</v>
      </c>
      <c r="F83" s="133">
        <f t="shared" si="2"/>
        <v>427.5</v>
      </c>
      <c r="G83" s="135">
        <f t="shared" si="3"/>
        <v>2016.5</v>
      </c>
    </row>
    <row r="84" ht="14.25" customHeight="1">
      <c r="A84" s="131">
        <v>80.0</v>
      </c>
      <c r="B84" s="132">
        <v>47693.0</v>
      </c>
      <c r="C84" s="146"/>
      <c r="D84" s="135">
        <f t="shared" si="1"/>
        <v>20.2</v>
      </c>
      <c r="E84" s="135">
        <f t="shared" si="5"/>
        <v>403.3</v>
      </c>
      <c r="F84" s="133">
        <f t="shared" si="2"/>
        <v>423.5</v>
      </c>
      <c r="G84" s="135">
        <f t="shared" si="3"/>
        <v>1613.2</v>
      </c>
    </row>
    <row r="85" ht="14.25" customHeight="1">
      <c r="A85" s="131">
        <v>81.0</v>
      </c>
      <c r="B85" s="132">
        <v>47724.0</v>
      </c>
      <c r="C85" s="146"/>
      <c r="D85" s="135">
        <f t="shared" si="1"/>
        <v>16.1</v>
      </c>
      <c r="E85" s="135">
        <f t="shared" si="5"/>
        <v>403.3</v>
      </c>
      <c r="F85" s="133">
        <f t="shared" si="2"/>
        <v>419.4</v>
      </c>
      <c r="G85" s="135">
        <f t="shared" si="3"/>
        <v>1209.9</v>
      </c>
    </row>
    <row r="86" ht="14.25" customHeight="1">
      <c r="A86" s="131">
        <v>82.0</v>
      </c>
      <c r="B86" s="132">
        <v>47755.0</v>
      </c>
      <c r="C86" s="146"/>
      <c r="D86" s="135">
        <f t="shared" si="1"/>
        <v>12.1</v>
      </c>
      <c r="E86" s="135">
        <f t="shared" si="5"/>
        <v>403.3</v>
      </c>
      <c r="F86" s="133">
        <f t="shared" si="2"/>
        <v>415.4</v>
      </c>
      <c r="G86" s="135">
        <f t="shared" si="3"/>
        <v>806.6</v>
      </c>
    </row>
    <row r="87" ht="14.25" customHeight="1">
      <c r="A87" s="131">
        <v>83.0</v>
      </c>
      <c r="B87" s="132">
        <v>47785.0</v>
      </c>
      <c r="C87" s="146"/>
      <c r="D87" s="135">
        <f t="shared" si="1"/>
        <v>8.1</v>
      </c>
      <c r="E87" s="135">
        <f t="shared" si="5"/>
        <v>403.3</v>
      </c>
      <c r="F87" s="133">
        <f t="shared" si="2"/>
        <v>411.4</v>
      </c>
      <c r="G87" s="135">
        <f t="shared" si="3"/>
        <v>403.3</v>
      </c>
    </row>
    <row r="88" ht="14.25" customHeight="1">
      <c r="A88" s="131">
        <v>84.0</v>
      </c>
      <c r="B88" s="132">
        <v>47816.0</v>
      </c>
      <c r="C88" s="146"/>
      <c r="D88" s="135">
        <f t="shared" si="1"/>
        <v>4</v>
      </c>
      <c r="E88" s="135">
        <f t="shared" si="5"/>
        <v>403.3</v>
      </c>
      <c r="F88" s="133">
        <f t="shared" si="2"/>
        <v>407.3</v>
      </c>
      <c r="G88" s="135">
        <f t="shared" si="3"/>
        <v>0</v>
      </c>
    </row>
    <row r="89" ht="14.25" customHeight="1">
      <c r="A89" s="129" t="s">
        <v>252</v>
      </c>
      <c r="B89" s="2"/>
      <c r="C89" s="3"/>
      <c r="D89" s="147">
        <f t="shared" ref="D89:F89" si="6">+SUM(D5:D88)</f>
        <v>14400</v>
      </c>
      <c r="E89" s="147">
        <f t="shared" si="6"/>
        <v>33883.7</v>
      </c>
      <c r="F89" s="147">
        <f t="shared" si="6"/>
        <v>48283.7</v>
      </c>
      <c r="G89" s="148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358</v>
      </c>
      <c r="B1" s="2"/>
      <c r="C1" s="2"/>
      <c r="D1" s="2"/>
      <c r="E1" s="2"/>
      <c r="F1" s="2"/>
      <c r="G1" s="3"/>
    </row>
    <row r="2" ht="14.25" customHeight="1">
      <c r="A2" s="129" t="s">
        <v>346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45837.0</v>
      </c>
      <c r="C4" s="133">
        <f>+J7</f>
        <v>20583.1</v>
      </c>
      <c r="D4" s="134">
        <v>0.01</v>
      </c>
      <c r="E4" s="135"/>
      <c r="F4" s="135"/>
      <c r="G4" s="135">
        <f>+C4</f>
        <v>20583.1</v>
      </c>
    </row>
    <row r="5" ht="14.25" customHeight="1">
      <c r="A5" s="136">
        <v>1.0</v>
      </c>
      <c r="B5" s="137">
        <v>45867.0</v>
      </c>
      <c r="C5" s="138"/>
      <c r="D5" s="138">
        <f t="shared" ref="D5:D52" si="1">+ROUND(G4*0.01,1)</f>
        <v>205.8</v>
      </c>
      <c r="E5" s="138">
        <f t="shared" ref="E5:E51" si="2">ROUNDDOWN($C$4/48,1)</f>
        <v>428.8</v>
      </c>
      <c r="F5" s="139">
        <f t="shared" ref="F5:F52" si="3">+ROUND(D5+E5,1)</f>
        <v>634.6</v>
      </c>
      <c r="G5" s="138">
        <f t="shared" ref="G5:G52" si="4">+ROUND(G4-E5,1)</f>
        <v>20154.3</v>
      </c>
      <c r="I5" s="140" t="s">
        <v>209</v>
      </c>
      <c r="J5" s="141">
        <v>8000.0</v>
      </c>
    </row>
    <row r="6" ht="14.25" customHeight="1">
      <c r="A6" s="136">
        <v>2.0</v>
      </c>
      <c r="B6" s="137">
        <v>45898.0</v>
      </c>
      <c r="C6" s="144"/>
      <c r="D6" s="138">
        <f t="shared" si="1"/>
        <v>201.5</v>
      </c>
      <c r="E6" s="138">
        <f t="shared" si="2"/>
        <v>428.8</v>
      </c>
      <c r="F6" s="139">
        <f t="shared" si="3"/>
        <v>630.3</v>
      </c>
      <c r="G6" s="138">
        <f t="shared" si="4"/>
        <v>19725.5</v>
      </c>
      <c r="I6" s="140" t="s">
        <v>331</v>
      </c>
      <c r="J6" s="141">
        <v>12583.1</v>
      </c>
    </row>
    <row r="7" ht="14.25" customHeight="1">
      <c r="A7" s="136">
        <v>3.0</v>
      </c>
      <c r="B7" s="137">
        <v>45929.0</v>
      </c>
      <c r="C7" s="144"/>
      <c r="D7" s="138">
        <f t="shared" si="1"/>
        <v>197.3</v>
      </c>
      <c r="E7" s="138">
        <f t="shared" si="2"/>
        <v>428.8</v>
      </c>
      <c r="F7" s="139">
        <f t="shared" si="3"/>
        <v>626.1</v>
      </c>
      <c r="G7" s="138">
        <f t="shared" si="4"/>
        <v>19296.7</v>
      </c>
      <c r="I7" s="142" t="s">
        <v>252</v>
      </c>
      <c r="J7" s="143">
        <f>+SUM(J5:J6)</f>
        <v>20583.1</v>
      </c>
    </row>
    <row r="8" ht="14.25" customHeight="1">
      <c r="A8" s="136">
        <v>4.0</v>
      </c>
      <c r="B8" s="137">
        <v>45959.0</v>
      </c>
      <c r="C8" s="145"/>
      <c r="D8" s="138">
        <f t="shared" si="1"/>
        <v>193</v>
      </c>
      <c r="E8" s="138">
        <f t="shared" si="2"/>
        <v>428.8</v>
      </c>
      <c r="F8" s="139">
        <f t="shared" si="3"/>
        <v>621.8</v>
      </c>
      <c r="G8" s="138">
        <f t="shared" si="4"/>
        <v>18867.9</v>
      </c>
    </row>
    <row r="9" ht="14.25" customHeight="1">
      <c r="A9" s="136">
        <v>5.0</v>
      </c>
      <c r="B9" s="137">
        <v>45990.0</v>
      </c>
      <c r="C9" s="145"/>
      <c r="D9" s="138">
        <f t="shared" si="1"/>
        <v>188.7</v>
      </c>
      <c r="E9" s="138">
        <f t="shared" si="2"/>
        <v>428.8</v>
      </c>
      <c r="F9" s="139">
        <f t="shared" si="3"/>
        <v>617.5</v>
      </c>
      <c r="G9" s="138">
        <f t="shared" si="4"/>
        <v>18439.1</v>
      </c>
    </row>
    <row r="10" ht="14.25" customHeight="1">
      <c r="A10" s="136">
        <v>6.0</v>
      </c>
      <c r="B10" s="137">
        <v>46020.0</v>
      </c>
      <c r="C10" s="145"/>
      <c r="D10" s="138">
        <f t="shared" si="1"/>
        <v>184.4</v>
      </c>
      <c r="E10" s="138">
        <f t="shared" si="2"/>
        <v>428.8</v>
      </c>
      <c r="F10" s="139">
        <f t="shared" si="3"/>
        <v>613.2</v>
      </c>
      <c r="G10" s="138">
        <f t="shared" si="4"/>
        <v>18010.3</v>
      </c>
      <c r="J10" s="166"/>
    </row>
    <row r="11" ht="14.25" customHeight="1">
      <c r="A11" s="131">
        <v>7.0</v>
      </c>
      <c r="B11" s="132">
        <v>46051.0</v>
      </c>
      <c r="C11" s="146"/>
      <c r="D11" s="135">
        <f t="shared" si="1"/>
        <v>180.1</v>
      </c>
      <c r="E11" s="135">
        <f t="shared" si="2"/>
        <v>428.8</v>
      </c>
      <c r="F11" s="133">
        <f t="shared" si="3"/>
        <v>608.9</v>
      </c>
      <c r="G11" s="135">
        <f t="shared" si="4"/>
        <v>17581.5</v>
      </c>
    </row>
    <row r="12" ht="14.25" customHeight="1">
      <c r="A12" s="131">
        <v>8.0</v>
      </c>
      <c r="B12" s="132">
        <v>46081.0</v>
      </c>
      <c r="C12" s="146"/>
      <c r="D12" s="135">
        <f t="shared" si="1"/>
        <v>175.8</v>
      </c>
      <c r="E12" s="135">
        <f t="shared" si="2"/>
        <v>428.8</v>
      </c>
      <c r="F12" s="133">
        <f t="shared" si="3"/>
        <v>604.6</v>
      </c>
      <c r="G12" s="135">
        <f t="shared" si="4"/>
        <v>17152.7</v>
      </c>
    </row>
    <row r="13" ht="14.25" customHeight="1">
      <c r="A13" s="131">
        <v>9.0</v>
      </c>
      <c r="B13" s="132">
        <v>46110.0</v>
      </c>
      <c r="C13" s="146"/>
      <c r="D13" s="135">
        <f t="shared" si="1"/>
        <v>171.5</v>
      </c>
      <c r="E13" s="135">
        <f t="shared" si="2"/>
        <v>428.8</v>
      </c>
      <c r="F13" s="133">
        <f t="shared" si="3"/>
        <v>600.3</v>
      </c>
      <c r="G13" s="135">
        <f t="shared" si="4"/>
        <v>16723.9</v>
      </c>
    </row>
    <row r="14" ht="14.25" customHeight="1">
      <c r="A14" s="131">
        <v>10.0</v>
      </c>
      <c r="B14" s="132">
        <v>46141.0</v>
      </c>
      <c r="C14" s="146"/>
      <c r="D14" s="135">
        <f t="shared" si="1"/>
        <v>167.2</v>
      </c>
      <c r="E14" s="135">
        <f t="shared" si="2"/>
        <v>428.8</v>
      </c>
      <c r="F14" s="133">
        <f t="shared" si="3"/>
        <v>596</v>
      </c>
      <c r="G14" s="135">
        <f t="shared" si="4"/>
        <v>16295.1</v>
      </c>
    </row>
    <row r="15" ht="14.25" customHeight="1">
      <c r="A15" s="131">
        <v>11.0</v>
      </c>
      <c r="B15" s="132">
        <v>46171.0</v>
      </c>
      <c r="C15" s="146"/>
      <c r="D15" s="135">
        <f t="shared" si="1"/>
        <v>163</v>
      </c>
      <c r="E15" s="135">
        <f t="shared" si="2"/>
        <v>428.8</v>
      </c>
      <c r="F15" s="133">
        <f t="shared" si="3"/>
        <v>591.8</v>
      </c>
      <c r="G15" s="135">
        <f t="shared" si="4"/>
        <v>15866.3</v>
      </c>
    </row>
    <row r="16" ht="14.25" customHeight="1">
      <c r="A16" s="131">
        <v>12.0</v>
      </c>
      <c r="B16" s="132">
        <v>46202.0</v>
      </c>
      <c r="C16" s="146"/>
      <c r="D16" s="135">
        <f t="shared" si="1"/>
        <v>158.7</v>
      </c>
      <c r="E16" s="135">
        <f t="shared" si="2"/>
        <v>428.8</v>
      </c>
      <c r="F16" s="133">
        <f t="shared" si="3"/>
        <v>587.5</v>
      </c>
      <c r="G16" s="135">
        <f t="shared" si="4"/>
        <v>15437.5</v>
      </c>
    </row>
    <row r="17" ht="14.25" customHeight="1">
      <c r="A17" s="131">
        <v>13.0</v>
      </c>
      <c r="B17" s="132">
        <v>46232.0</v>
      </c>
      <c r="C17" s="146"/>
      <c r="D17" s="135">
        <f t="shared" si="1"/>
        <v>154.4</v>
      </c>
      <c r="E17" s="135">
        <f t="shared" si="2"/>
        <v>428.8</v>
      </c>
      <c r="F17" s="133">
        <f t="shared" si="3"/>
        <v>583.2</v>
      </c>
      <c r="G17" s="135">
        <f t="shared" si="4"/>
        <v>15008.7</v>
      </c>
    </row>
    <row r="18" ht="14.25" customHeight="1">
      <c r="A18" s="131">
        <v>14.0</v>
      </c>
      <c r="B18" s="132">
        <v>46263.0</v>
      </c>
      <c r="C18" s="146"/>
      <c r="D18" s="135">
        <f t="shared" si="1"/>
        <v>150.1</v>
      </c>
      <c r="E18" s="135">
        <f t="shared" si="2"/>
        <v>428.8</v>
      </c>
      <c r="F18" s="133">
        <f t="shared" si="3"/>
        <v>578.9</v>
      </c>
      <c r="G18" s="135">
        <f t="shared" si="4"/>
        <v>14579.9</v>
      </c>
    </row>
    <row r="19" ht="14.25" customHeight="1">
      <c r="A19" s="131">
        <v>15.0</v>
      </c>
      <c r="B19" s="132">
        <v>46294.0</v>
      </c>
      <c r="C19" s="146"/>
      <c r="D19" s="135">
        <f t="shared" si="1"/>
        <v>145.8</v>
      </c>
      <c r="E19" s="135">
        <f t="shared" si="2"/>
        <v>428.8</v>
      </c>
      <c r="F19" s="133">
        <f t="shared" si="3"/>
        <v>574.6</v>
      </c>
      <c r="G19" s="135">
        <f t="shared" si="4"/>
        <v>14151.1</v>
      </c>
    </row>
    <row r="20" ht="14.25" customHeight="1">
      <c r="A20" s="131">
        <v>16.0</v>
      </c>
      <c r="B20" s="132">
        <v>46324.0</v>
      </c>
      <c r="C20" s="146"/>
      <c r="D20" s="135">
        <f t="shared" si="1"/>
        <v>141.5</v>
      </c>
      <c r="E20" s="135">
        <f t="shared" si="2"/>
        <v>428.8</v>
      </c>
      <c r="F20" s="133">
        <f t="shared" si="3"/>
        <v>570.3</v>
      </c>
      <c r="G20" s="135">
        <f t="shared" si="4"/>
        <v>13722.3</v>
      </c>
    </row>
    <row r="21" ht="14.25" customHeight="1">
      <c r="A21" s="131">
        <v>17.0</v>
      </c>
      <c r="B21" s="132">
        <v>46355.0</v>
      </c>
      <c r="C21" s="146"/>
      <c r="D21" s="135">
        <f t="shared" si="1"/>
        <v>137.2</v>
      </c>
      <c r="E21" s="135">
        <f t="shared" si="2"/>
        <v>428.8</v>
      </c>
      <c r="F21" s="133">
        <f t="shared" si="3"/>
        <v>566</v>
      </c>
      <c r="G21" s="135">
        <f t="shared" si="4"/>
        <v>13293.5</v>
      </c>
    </row>
    <row r="22" ht="14.25" customHeight="1">
      <c r="A22" s="131">
        <v>18.0</v>
      </c>
      <c r="B22" s="132">
        <v>46385.0</v>
      </c>
      <c r="C22" s="146"/>
      <c r="D22" s="135">
        <f t="shared" si="1"/>
        <v>132.9</v>
      </c>
      <c r="E22" s="135">
        <f t="shared" si="2"/>
        <v>428.8</v>
      </c>
      <c r="F22" s="133">
        <f t="shared" si="3"/>
        <v>561.7</v>
      </c>
      <c r="G22" s="135">
        <f t="shared" si="4"/>
        <v>12864.7</v>
      </c>
    </row>
    <row r="23" ht="14.25" customHeight="1">
      <c r="A23" s="131">
        <v>19.0</v>
      </c>
      <c r="B23" s="132">
        <v>46416.0</v>
      </c>
      <c r="C23" s="146"/>
      <c r="D23" s="135">
        <f t="shared" si="1"/>
        <v>128.6</v>
      </c>
      <c r="E23" s="135">
        <f t="shared" si="2"/>
        <v>428.8</v>
      </c>
      <c r="F23" s="133">
        <f t="shared" si="3"/>
        <v>557.4</v>
      </c>
      <c r="G23" s="135">
        <f t="shared" si="4"/>
        <v>12435.9</v>
      </c>
    </row>
    <row r="24" ht="14.25" customHeight="1">
      <c r="A24" s="131">
        <v>20.0</v>
      </c>
      <c r="B24" s="132">
        <v>46446.0</v>
      </c>
      <c r="C24" s="146"/>
      <c r="D24" s="135">
        <f t="shared" si="1"/>
        <v>124.4</v>
      </c>
      <c r="E24" s="135">
        <f t="shared" si="2"/>
        <v>428.8</v>
      </c>
      <c r="F24" s="133">
        <f t="shared" si="3"/>
        <v>553.2</v>
      </c>
      <c r="G24" s="135">
        <f t="shared" si="4"/>
        <v>12007.1</v>
      </c>
    </row>
    <row r="25" ht="14.25" customHeight="1">
      <c r="A25" s="131">
        <v>21.0</v>
      </c>
      <c r="B25" s="132">
        <v>46475.0</v>
      </c>
      <c r="C25" s="146"/>
      <c r="D25" s="135">
        <f t="shared" si="1"/>
        <v>120.1</v>
      </c>
      <c r="E25" s="135">
        <f t="shared" si="2"/>
        <v>428.8</v>
      </c>
      <c r="F25" s="133">
        <f t="shared" si="3"/>
        <v>548.9</v>
      </c>
      <c r="G25" s="135">
        <f t="shared" si="4"/>
        <v>11578.3</v>
      </c>
    </row>
    <row r="26" ht="14.25" customHeight="1">
      <c r="A26" s="131">
        <v>22.0</v>
      </c>
      <c r="B26" s="132">
        <v>46506.0</v>
      </c>
      <c r="C26" s="146"/>
      <c r="D26" s="135">
        <f t="shared" si="1"/>
        <v>115.8</v>
      </c>
      <c r="E26" s="135">
        <f t="shared" si="2"/>
        <v>428.8</v>
      </c>
      <c r="F26" s="133">
        <f t="shared" si="3"/>
        <v>544.6</v>
      </c>
      <c r="G26" s="135">
        <f t="shared" si="4"/>
        <v>11149.5</v>
      </c>
    </row>
    <row r="27" ht="14.25" customHeight="1">
      <c r="A27" s="131">
        <v>23.0</v>
      </c>
      <c r="B27" s="132">
        <v>46536.0</v>
      </c>
      <c r="C27" s="146"/>
      <c r="D27" s="135">
        <f t="shared" si="1"/>
        <v>111.5</v>
      </c>
      <c r="E27" s="135">
        <f t="shared" si="2"/>
        <v>428.8</v>
      </c>
      <c r="F27" s="133">
        <f t="shared" si="3"/>
        <v>540.3</v>
      </c>
      <c r="G27" s="135">
        <f t="shared" si="4"/>
        <v>10720.7</v>
      </c>
    </row>
    <row r="28" ht="14.25" customHeight="1">
      <c r="A28" s="131">
        <v>24.0</v>
      </c>
      <c r="B28" s="132">
        <v>46567.0</v>
      </c>
      <c r="C28" s="146"/>
      <c r="D28" s="135">
        <f t="shared" si="1"/>
        <v>107.2</v>
      </c>
      <c r="E28" s="135">
        <f t="shared" si="2"/>
        <v>428.8</v>
      </c>
      <c r="F28" s="133">
        <f t="shared" si="3"/>
        <v>536</v>
      </c>
      <c r="G28" s="135">
        <f t="shared" si="4"/>
        <v>10291.9</v>
      </c>
    </row>
    <row r="29" ht="14.25" customHeight="1">
      <c r="A29" s="131">
        <v>25.0</v>
      </c>
      <c r="B29" s="132">
        <v>46597.0</v>
      </c>
      <c r="C29" s="146"/>
      <c r="D29" s="135">
        <f t="shared" si="1"/>
        <v>102.9</v>
      </c>
      <c r="E29" s="135">
        <f t="shared" si="2"/>
        <v>428.8</v>
      </c>
      <c r="F29" s="133">
        <f t="shared" si="3"/>
        <v>531.7</v>
      </c>
      <c r="G29" s="135">
        <f t="shared" si="4"/>
        <v>9863.1</v>
      </c>
    </row>
    <row r="30" ht="14.25" customHeight="1">
      <c r="A30" s="131">
        <v>26.0</v>
      </c>
      <c r="B30" s="132">
        <v>46628.0</v>
      </c>
      <c r="C30" s="146"/>
      <c r="D30" s="135">
        <f t="shared" si="1"/>
        <v>98.6</v>
      </c>
      <c r="E30" s="135">
        <f t="shared" si="2"/>
        <v>428.8</v>
      </c>
      <c r="F30" s="133">
        <f t="shared" si="3"/>
        <v>527.4</v>
      </c>
      <c r="G30" s="135">
        <f t="shared" si="4"/>
        <v>9434.3</v>
      </c>
    </row>
    <row r="31" ht="14.25" customHeight="1">
      <c r="A31" s="131">
        <v>27.0</v>
      </c>
      <c r="B31" s="132">
        <v>46659.0</v>
      </c>
      <c r="C31" s="146"/>
      <c r="D31" s="135">
        <f t="shared" si="1"/>
        <v>94.3</v>
      </c>
      <c r="E31" s="135">
        <f t="shared" si="2"/>
        <v>428.8</v>
      </c>
      <c r="F31" s="133">
        <f t="shared" si="3"/>
        <v>523.1</v>
      </c>
      <c r="G31" s="135">
        <f t="shared" si="4"/>
        <v>9005.5</v>
      </c>
    </row>
    <row r="32" ht="14.25" customHeight="1">
      <c r="A32" s="131">
        <v>28.0</v>
      </c>
      <c r="B32" s="132">
        <v>46689.0</v>
      </c>
      <c r="C32" s="146"/>
      <c r="D32" s="135">
        <f t="shared" si="1"/>
        <v>90.1</v>
      </c>
      <c r="E32" s="135">
        <f t="shared" si="2"/>
        <v>428.8</v>
      </c>
      <c r="F32" s="133">
        <f t="shared" si="3"/>
        <v>518.9</v>
      </c>
      <c r="G32" s="135">
        <f t="shared" si="4"/>
        <v>8576.7</v>
      </c>
    </row>
    <row r="33" ht="14.25" customHeight="1">
      <c r="A33" s="131">
        <v>29.0</v>
      </c>
      <c r="B33" s="132">
        <v>46720.0</v>
      </c>
      <c r="C33" s="146"/>
      <c r="D33" s="135">
        <f t="shared" si="1"/>
        <v>85.8</v>
      </c>
      <c r="E33" s="135">
        <f t="shared" si="2"/>
        <v>428.8</v>
      </c>
      <c r="F33" s="133">
        <f t="shared" si="3"/>
        <v>514.6</v>
      </c>
      <c r="G33" s="135">
        <f t="shared" si="4"/>
        <v>8147.9</v>
      </c>
    </row>
    <row r="34" ht="14.25" customHeight="1">
      <c r="A34" s="131">
        <v>30.0</v>
      </c>
      <c r="B34" s="132">
        <v>46750.0</v>
      </c>
      <c r="C34" s="146"/>
      <c r="D34" s="135">
        <f t="shared" si="1"/>
        <v>81.5</v>
      </c>
      <c r="E34" s="135">
        <f t="shared" si="2"/>
        <v>428.8</v>
      </c>
      <c r="F34" s="133">
        <f t="shared" si="3"/>
        <v>510.3</v>
      </c>
      <c r="G34" s="135">
        <f t="shared" si="4"/>
        <v>7719.1</v>
      </c>
    </row>
    <row r="35" ht="14.25" customHeight="1">
      <c r="A35" s="131">
        <v>31.0</v>
      </c>
      <c r="B35" s="132">
        <v>46781.0</v>
      </c>
      <c r="C35" s="146"/>
      <c r="D35" s="135">
        <f t="shared" si="1"/>
        <v>77.2</v>
      </c>
      <c r="E35" s="135">
        <f t="shared" si="2"/>
        <v>428.8</v>
      </c>
      <c r="F35" s="133">
        <f t="shared" si="3"/>
        <v>506</v>
      </c>
      <c r="G35" s="135">
        <f t="shared" si="4"/>
        <v>7290.3</v>
      </c>
    </row>
    <row r="36" ht="14.25" customHeight="1">
      <c r="A36" s="131">
        <v>32.0</v>
      </c>
      <c r="B36" s="132">
        <v>46812.0</v>
      </c>
      <c r="C36" s="146"/>
      <c r="D36" s="135">
        <f t="shared" si="1"/>
        <v>72.9</v>
      </c>
      <c r="E36" s="135">
        <f t="shared" si="2"/>
        <v>428.8</v>
      </c>
      <c r="F36" s="133">
        <f t="shared" si="3"/>
        <v>501.7</v>
      </c>
      <c r="G36" s="135">
        <f t="shared" si="4"/>
        <v>6861.5</v>
      </c>
    </row>
    <row r="37" ht="14.25" customHeight="1">
      <c r="A37" s="131">
        <v>33.0</v>
      </c>
      <c r="B37" s="132">
        <v>46841.0</v>
      </c>
      <c r="C37" s="146"/>
      <c r="D37" s="135">
        <f t="shared" si="1"/>
        <v>68.6</v>
      </c>
      <c r="E37" s="135">
        <f t="shared" si="2"/>
        <v>428.8</v>
      </c>
      <c r="F37" s="133">
        <f t="shared" si="3"/>
        <v>497.4</v>
      </c>
      <c r="G37" s="135">
        <f t="shared" si="4"/>
        <v>6432.7</v>
      </c>
    </row>
    <row r="38" ht="14.25" customHeight="1">
      <c r="A38" s="131">
        <v>34.0</v>
      </c>
      <c r="B38" s="132">
        <v>46872.0</v>
      </c>
      <c r="C38" s="146"/>
      <c r="D38" s="135">
        <f t="shared" si="1"/>
        <v>64.3</v>
      </c>
      <c r="E38" s="135">
        <f t="shared" si="2"/>
        <v>428.8</v>
      </c>
      <c r="F38" s="133">
        <f t="shared" si="3"/>
        <v>493.1</v>
      </c>
      <c r="G38" s="135">
        <f t="shared" si="4"/>
        <v>6003.9</v>
      </c>
    </row>
    <row r="39" ht="14.25" customHeight="1">
      <c r="A39" s="131">
        <v>35.0</v>
      </c>
      <c r="B39" s="132">
        <v>46902.0</v>
      </c>
      <c r="C39" s="146"/>
      <c r="D39" s="135">
        <f t="shared" si="1"/>
        <v>60</v>
      </c>
      <c r="E39" s="135">
        <f t="shared" si="2"/>
        <v>428.8</v>
      </c>
      <c r="F39" s="133">
        <f t="shared" si="3"/>
        <v>488.8</v>
      </c>
      <c r="G39" s="135">
        <f t="shared" si="4"/>
        <v>5575.1</v>
      </c>
    </row>
    <row r="40" ht="14.25" customHeight="1">
      <c r="A40" s="131">
        <v>36.0</v>
      </c>
      <c r="B40" s="132">
        <v>46933.0</v>
      </c>
      <c r="C40" s="146"/>
      <c r="D40" s="135">
        <f t="shared" si="1"/>
        <v>55.8</v>
      </c>
      <c r="E40" s="135">
        <f t="shared" si="2"/>
        <v>428.8</v>
      </c>
      <c r="F40" s="133">
        <f t="shared" si="3"/>
        <v>484.6</v>
      </c>
      <c r="G40" s="135">
        <f t="shared" si="4"/>
        <v>5146.3</v>
      </c>
    </row>
    <row r="41" ht="14.25" customHeight="1">
      <c r="A41" s="131">
        <v>37.0</v>
      </c>
      <c r="B41" s="132">
        <v>46963.0</v>
      </c>
      <c r="C41" s="146"/>
      <c r="D41" s="135">
        <f t="shared" si="1"/>
        <v>51.5</v>
      </c>
      <c r="E41" s="135">
        <f t="shared" si="2"/>
        <v>428.8</v>
      </c>
      <c r="F41" s="133">
        <f t="shared" si="3"/>
        <v>480.3</v>
      </c>
      <c r="G41" s="135">
        <f t="shared" si="4"/>
        <v>4717.5</v>
      </c>
    </row>
    <row r="42" ht="14.25" customHeight="1">
      <c r="A42" s="131">
        <v>38.0</v>
      </c>
      <c r="B42" s="132">
        <v>46994.0</v>
      </c>
      <c r="C42" s="146"/>
      <c r="D42" s="135">
        <f t="shared" si="1"/>
        <v>47.2</v>
      </c>
      <c r="E42" s="135">
        <f t="shared" si="2"/>
        <v>428.8</v>
      </c>
      <c r="F42" s="133">
        <f t="shared" si="3"/>
        <v>476</v>
      </c>
      <c r="G42" s="135">
        <f t="shared" si="4"/>
        <v>4288.7</v>
      </c>
    </row>
    <row r="43" ht="14.25" customHeight="1">
      <c r="A43" s="131">
        <v>39.0</v>
      </c>
      <c r="B43" s="132">
        <v>47025.0</v>
      </c>
      <c r="C43" s="146"/>
      <c r="D43" s="135">
        <f t="shared" si="1"/>
        <v>42.9</v>
      </c>
      <c r="E43" s="135">
        <f t="shared" si="2"/>
        <v>428.8</v>
      </c>
      <c r="F43" s="133">
        <f t="shared" si="3"/>
        <v>471.7</v>
      </c>
      <c r="G43" s="135">
        <f t="shared" si="4"/>
        <v>3859.9</v>
      </c>
    </row>
    <row r="44" ht="14.25" customHeight="1">
      <c r="A44" s="131">
        <v>40.0</v>
      </c>
      <c r="B44" s="132">
        <v>47055.0</v>
      </c>
      <c r="C44" s="146"/>
      <c r="D44" s="135">
        <f t="shared" si="1"/>
        <v>38.6</v>
      </c>
      <c r="E44" s="135">
        <f t="shared" si="2"/>
        <v>428.8</v>
      </c>
      <c r="F44" s="133">
        <f t="shared" si="3"/>
        <v>467.4</v>
      </c>
      <c r="G44" s="135">
        <f t="shared" si="4"/>
        <v>3431.1</v>
      </c>
    </row>
    <row r="45" ht="14.25" customHeight="1">
      <c r="A45" s="131">
        <v>41.0</v>
      </c>
      <c r="B45" s="132">
        <v>47086.0</v>
      </c>
      <c r="C45" s="146"/>
      <c r="D45" s="135">
        <f t="shared" si="1"/>
        <v>34.3</v>
      </c>
      <c r="E45" s="135">
        <f t="shared" si="2"/>
        <v>428.8</v>
      </c>
      <c r="F45" s="133">
        <f t="shared" si="3"/>
        <v>463.1</v>
      </c>
      <c r="G45" s="135">
        <f t="shared" si="4"/>
        <v>3002.3</v>
      </c>
    </row>
    <row r="46" ht="14.25" customHeight="1">
      <c r="A46" s="131">
        <v>42.0</v>
      </c>
      <c r="B46" s="132">
        <v>47116.0</v>
      </c>
      <c r="C46" s="146"/>
      <c r="D46" s="135">
        <f t="shared" si="1"/>
        <v>30</v>
      </c>
      <c r="E46" s="135">
        <f t="shared" si="2"/>
        <v>428.8</v>
      </c>
      <c r="F46" s="133">
        <f t="shared" si="3"/>
        <v>458.8</v>
      </c>
      <c r="G46" s="135">
        <f t="shared" si="4"/>
        <v>2573.5</v>
      </c>
    </row>
    <row r="47" ht="14.25" customHeight="1">
      <c r="A47" s="131">
        <v>43.0</v>
      </c>
      <c r="B47" s="132">
        <v>47147.0</v>
      </c>
      <c r="C47" s="146"/>
      <c r="D47" s="135">
        <f t="shared" si="1"/>
        <v>25.7</v>
      </c>
      <c r="E47" s="135">
        <f t="shared" si="2"/>
        <v>428.8</v>
      </c>
      <c r="F47" s="133">
        <f t="shared" si="3"/>
        <v>454.5</v>
      </c>
      <c r="G47" s="135">
        <f t="shared" si="4"/>
        <v>2144.7</v>
      </c>
    </row>
    <row r="48" ht="14.25" customHeight="1">
      <c r="A48" s="131">
        <v>44.0</v>
      </c>
      <c r="B48" s="132">
        <v>47177.0</v>
      </c>
      <c r="C48" s="146"/>
      <c r="D48" s="135">
        <f t="shared" si="1"/>
        <v>21.4</v>
      </c>
      <c r="E48" s="135">
        <f t="shared" si="2"/>
        <v>428.8</v>
      </c>
      <c r="F48" s="133">
        <f t="shared" si="3"/>
        <v>450.2</v>
      </c>
      <c r="G48" s="135">
        <f t="shared" si="4"/>
        <v>1715.9</v>
      </c>
    </row>
    <row r="49" ht="14.25" customHeight="1">
      <c r="A49" s="131">
        <v>45.0</v>
      </c>
      <c r="B49" s="132">
        <v>47206.0</v>
      </c>
      <c r="C49" s="146"/>
      <c r="D49" s="135">
        <f t="shared" si="1"/>
        <v>17.2</v>
      </c>
      <c r="E49" s="135">
        <f t="shared" si="2"/>
        <v>428.8</v>
      </c>
      <c r="F49" s="133">
        <f t="shared" si="3"/>
        <v>446</v>
      </c>
      <c r="G49" s="135">
        <f t="shared" si="4"/>
        <v>1287.1</v>
      </c>
    </row>
    <row r="50" ht="14.25" customHeight="1">
      <c r="A50" s="131">
        <v>46.0</v>
      </c>
      <c r="B50" s="132">
        <v>47237.0</v>
      </c>
      <c r="C50" s="146"/>
      <c r="D50" s="135">
        <f t="shared" si="1"/>
        <v>12.9</v>
      </c>
      <c r="E50" s="135">
        <f t="shared" si="2"/>
        <v>428.8</v>
      </c>
      <c r="F50" s="133">
        <f t="shared" si="3"/>
        <v>441.7</v>
      </c>
      <c r="G50" s="135">
        <f t="shared" si="4"/>
        <v>858.3</v>
      </c>
    </row>
    <row r="51" ht="14.25" customHeight="1">
      <c r="A51" s="131">
        <v>47.0</v>
      </c>
      <c r="B51" s="132">
        <v>47267.0</v>
      </c>
      <c r="C51" s="146"/>
      <c r="D51" s="135">
        <f t="shared" si="1"/>
        <v>8.6</v>
      </c>
      <c r="E51" s="135">
        <f t="shared" si="2"/>
        <v>428.8</v>
      </c>
      <c r="F51" s="133">
        <f t="shared" si="3"/>
        <v>437.4</v>
      </c>
      <c r="G51" s="135">
        <f t="shared" si="4"/>
        <v>429.5</v>
      </c>
    </row>
    <row r="52" ht="14.25" customHeight="1">
      <c r="A52" s="131">
        <v>48.0</v>
      </c>
      <c r="B52" s="132">
        <v>47298.0</v>
      </c>
      <c r="C52" s="146"/>
      <c r="D52" s="135">
        <f t="shared" si="1"/>
        <v>4.3</v>
      </c>
      <c r="E52" s="135">
        <f>ROUNDDOWN($C$4/48,1)+0.7</f>
        <v>429.5</v>
      </c>
      <c r="F52" s="133">
        <f t="shared" si="3"/>
        <v>433.8</v>
      </c>
      <c r="G52" s="135">
        <f t="shared" si="4"/>
        <v>0</v>
      </c>
    </row>
    <row r="53" ht="14.25" customHeight="1">
      <c r="A53" s="129" t="s">
        <v>252</v>
      </c>
      <c r="B53" s="2"/>
      <c r="C53" s="3"/>
      <c r="D53" s="147">
        <f t="shared" ref="D53:F53" si="5">+SUM(D5:D52)</f>
        <v>5043.1</v>
      </c>
      <c r="E53" s="147">
        <f t="shared" si="5"/>
        <v>20583.1</v>
      </c>
      <c r="F53" s="147">
        <f t="shared" si="5"/>
        <v>25626.2</v>
      </c>
      <c r="G53" s="148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53:C5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359</v>
      </c>
      <c r="B1" s="2"/>
      <c r="C1" s="2"/>
      <c r="D1" s="2"/>
      <c r="E1" s="2"/>
      <c r="F1" s="2"/>
      <c r="G1" s="3"/>
    </row>
    <row r="2" ht="14.25" customHeight="1">
      <c r="A2" s="129" t="s">
        <v>360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45745.0</v>
      </c>
      <c r="C4" s="133">
        <f>+J7</f>
        <v>16064.3</v>
      </c>
      <c r="D4" s="134">
        <v>0.01</v>
      </c>
      <c r="E4" s="135"/>
      <c r="F4" s="135"/>
      <c r="G4" s="135">
        <f>+C4</f>
        <v>16064.3</v>
      </c>
    </row>
    <row r="5" ht="14.25" customHeight="1">
      <c r="A5" s="136">
        <v>1.0</v>
      </c>
      <c r="B5" s="137">
        <v>45776.0</v>
      </c>
      <c r="C5" s="138"/>
      <c r="D5" s="138">
        <f t="shared" ref="D5:D52" si="1">+ROUND(G4*0.01,1)</f>
        <v>160.6</v>
      </c>
      <c r="E5" s="138">
        <f t="shared" ref="E5:E51" si="2">ROUNDUP($C$4/48,1)</f>
        <v>334.7</v>
      </c>
      <c r="F5" s="139">
        <f t="shared" ref="F5:F52" si="3">+ROUND(D5+E5,1)</f>
        <v>495.3</v>
      </c>
      <c r="G5" s="138">
        <f t="shared" ref="G5:G52" si="4">+ROUND(G4-E5,1)</f>
        <v>15729.6</v>
      </c>
      <c r="I5" s="140" t="s">
        <v>209</v>
      </c>
      <c r="J5" s="153">
        <v>6198.900000000007</v>
      </c>
    </row>
    <row r="6" ht="14.25" customHeight="1">
      <c r="A6" s="136">
        <v>2.0</v>
      </c>
      <c r="B6" s="137">
        <v>45806.0</v>
      </c>
      <c r="C6" s="144"/>
      <c r="D6" s="138">
        <f t="shared" si="1"/>
        <v>157.3</v>
      </c>
      <c r="E6" s="138">
        <f t="shared" si="2"/>
        <v>334.7</v>
      </c>
      <c r="F6" s="139">
        <f t="shared" si="3"/>
        <v>492</v>
      </c>
      <c r="G6" s="138">
        <f t="shared" si="4"/>
        <v>15394.9</v>
      </c>
      <c r="I6" s="140" t="s">
        <v>331</v>
      </c>
      <c r="J6" s="153">
        <v>9865.4</v>
      </c>
    </row>
    <row r="7" ht="14.25" customHeight="1">
      <c r="A7" s="136">
        <v>3.0</v>
      </c>
      <c r="B7" s="137">
        <v>45837.0</v>
      </c>
      <c r="C7" s="144"/>
      <c r="D7" s="138">
        <f t="shared" si="1"/>
        <v>153.9</v>
      </c>
      <c r="E7" s="138">
        <f t="shared" si="2"/>
        <v>334.7</v>
      </c>
      <c r="F7" s="139">
        <f t="shared" si="3"/>
        <v>488.6</v>
      </c>
      <c r="G7" s="138">
        <f t="shared" si="4"/>
        <v>15060.2</v>
      </c>
      <c r="I7" s="142" t="s">
        <v>252</v>
      </c>
      <c r="J7" s="158">
        <f>+SUM(J5:J6)</f>
        <v>16064.3</v>
      </c>
    </row>
    <row r="8" ht="14.25" customHeight="1">
      <c r="A8" s="136">
        <v>4.0</v>
      </c>
      <c r="B8" s="137">
        <v>45867.0</v>
      </c>
      <c r="C8" s="144"/>
      <c r="D8" s="138">
        <f t="shared" si="1"/>
        <v>150.6</v>
      </c>
      <c r="E8" s="138">
        <f t="shared" si="2"/>
        <v>334.7</v>
      </c>
      <c r="F8" s="139">
        <f t="shared" si="3"/>
        <v>485.3</v>
      </c>
      <c r="G8" s="138">
        <f t="shared" si="4"/>
        <v>14725.5</v>
      </c>
    </row>
    <row r="9" ht="14.25" customHeight="1">
      <c r="A9" s="136">
        <v>5.0</v>
      </c>
      <c r="B9" s="137">
        <v>45898.0</v>
      </c>
      <c r="C9" s="144"/>
      <c r="D9" s="138">
        <f t="shared" si="1"/>
        <v>147.3</v>
      </c>
      <c r="E9" s="138">
        <f t="shared" si="2"/>
        <v>334.7</v>
      </c>
      <c r="F9" s="139">
        <f t="shared" si="3"/>
        <v>482</v>
      </c>
      <c r="G9" s="138">
        <f t="shared" si="4"/>
        <v>14390.8</v>
      </c>
    </row>
    <row r="10" ht="14.25" customHeight="1">
      <c r="A10" s="136">
        <v>6.0</v>
      </c>
      <c r="B10" s="137">
        <v>45929.0</v>
      </c>
      <c r="C10" s="144"/>
      <c r="D10" s="138">
        <f t="shared" si="1"/>
        <v>143.9</v>
      </c>
      <c r="E10" s="138">
        <f t="shared" si="2"/>
        <v>334.7</v>
      </c>
      <c r="F10" s="139">
        <f t="shared" si="3"/>
        <v>478.6</v>
      </c>
      <c r="G10" s="138">
        <f t="shared" si="4"/>
        <v>14056.1</v>
      </c>
    </row>
    <row r="11" ht="14.25" customHeight="1">
      <c r="A11" s="136">
        <v>7.0</v>
      </c>
      <c r="B11" s="137">
        <v>45959.0</v>
      </c>
      <c r="C11" s="145"/>
      <c r="D11" s="138">
        <f t="shared" si="1"/>
        <v>140.6</v>
      </c>
      <c r="E11" s="138">
        <f t="shared" si="2"/>
        <v>334.7</v>
      </c>
      <c r="F11" s="139">
        <f t="shared" si="3"/>
        <v>475.3</v>
      </c>
      <c r="G11" s="138">
        <f t="shared" si="4"/>
        <v>13721.4</v>
      </c>
    </row>
    <row r="12" ht="14.25" customHeight="1">
      <c r="A12" s="136">
        <v>8.0</v>
      </c>
      <c r="B12" s="137">
        <v>45990.0</v>
      </c>
      <c r="C12" s="145"/>
      <c r="D12" s="138">
        <f t="shared" si="1"/>
        <v>137.2</v>
      </c>
      <c r="E12" s="138">
        <f t="shared" si="2"/>
        <v>334.7</v>
      </c>
      <c r="F12" s="139">
        <f t="shared" si="3"/>
        <v>471.9</v>
      </c>
      <c r="G12" s="138">
        <f t="shared" si="4"/>
        <v>13386.7</v>
      </c>
    </row>
    <row r="13" ht="14.25" customHeight="1">
      <c r="A13" s="136">
        <v>9.0</v>
      </c>
      <c r="B13" s="137">
        <v>46020.0</v>
      </c>
      <c r="C13" s="145"/>
      <c r="D13" s="138">
        <f t="shared" si="1"/>
        <v>133.9</v>
      </c>
      <c r="E13" s="138">
        <f t="shared" si="2"/>
        <v>334.7</v>
      </c>
      <c r="F13" s="139">
        <f t="shared" si="3"/>
        <v>468.6</v>
      </c>
      <c r="G13" s="138">
        <f t="shared" si="4"/>
        <v>13052</v>
      </c>
    </row>
    <row r="14" ht="14.25" customHeight="1">
      <c r="A14" s="136">
        <v>10.0</v>
      </c>
      <c r="B14" s="137">
        <v>46051.0</v>
      </c>
      <c r="C14" s="145"/>
      <c r="D14" s="138">
        <f t="shared" si="1"/>
        <v>130.5</v>
      </c>
      <c r="E14" s="138">
        <f t="shared" si="2"/>
        <v>334.7</v>
      </c>
      <c r="F14" s="139">
        <f t="shared" si="3"/>
        <v>465.2</v>
      </c>
      <c r="G14" s="138">
        <f t="shared" si="4"/>
        <v>12717.3</v>
      </c>
      <c r="I14" s="152" t="s">
        <v>328</v>
      </c>
      <c r="J14" s="153">
        <f>SUM(D10:D15)</f>
        <v>813.3</v>
      </c>
    </row>
    <row r="15" ht="14.25" customHeight="1">
      <c r="A15" s="154">
        <v>11.0</v>
      </c>
      <c r="B15" s="155">
        <v>46081.0</v>
      </c>
      <c r="C15" s="156"/>
      <c r="D15" s="157">
        <f t="shared" si="1"/>
        <v>127.2</v>
      </c>
      <c r="E15" s="157">
        <f t="shared" si="2"/>
        <v>334.7</v>
      </c>
      <c r="F15" s="157">
        <f t="shared" si="3"/>
        <v>461.9</v>
      </c>
      <c r="G15" s="157">
        <f t="shared" si="4"/>
        <v>12382.6</v>
      </c>
      <c r="I15" s="152" t="s">
        <v>209</v>
      </c>
      <c r="J15" s="153">
        <f>G15</f>
        <v>12382.6</v>
      </c>
    </row>
    <row r="16" ht="14.25" hidden="1" customHeight="1">
      <c r="A16" s="131">
        <v>12.0</v>
      </c>
      <c r="B16" s="132">
        <v>46110.0</v>
      </c>
      <c r="C16" s="146"/>
      <c r="D16" s="135">
        <f t="shared" si="1"/>
        <v>123.8</v>
      </c>
      <c r="E16" s="135">
        <f t="shared" si="2"/>
        <v>334.7</v>
      </c>
      <c r="F16" s="133">
        <f t="shared" si="3"/>
        <v>458.5</v>
      </c>
      <c r="G16" s="135">
        <f t="shared" si="4"/>
        <v>12047.9</v>
      </c>
    </row>
    <row r="17" ht="14.25" hidden="1" customHeight="1">
      <c r="A17" s="131">
        <v>13.0</v>
      </c>
      <c r="B17" s="132">
        <v>46141.0</v>
      </c>
      <c r="C17" s="146"/>
      <c r="D17" s="135">
        <f t="shared" si="1"/>
        <v>120.5</v>
      </c>
      <c r="E17" s="135">
        <f t="shared" si="2"/>
        <v>334.7</v>
      </c>
      <c r="F17" s="133">
        <f t="shared" si="3"/>
        <v>455.2</v>
      </c>
      <c r="G17" s="135">
        <f t="shared" si="4"/>
        <v>11713.2</v>
      </c>
    </row>
    <row r="18" ht="14.25" hidden="1" customHeight="1">
      <c r="A18" s="131">
        <v>14.0</v>
      </c>
      <c r="B18" s="132">
        <v>46171.0</v>
      </c>
      <c r="C18" s="146"/>
      <c r="D18" s="135">
        <f t="shared" si="1"/>
        <v>117.1</v>
      </c>
      <c r="E18" s="135">
        <f t="shared" si="2"/>
        <v>334.7</v>
      </c>
      <c r="F18" s="133">
        <f t="shared" si="3"/>
        <v>451.8</v>
      </c>
      <c r="G18" s="135">
        <f t="shared" si="4"/>
        <v>11378.5</v>
      </c>
    </row>
    <row r="19" ht="14.25" hidden="1" customHeight="1">
      <c r="A19" s="131">
        <v>15.0</v>
      </c>
      <c r="B19" s="132">
        <v>46202.0</v>
      </c>
      <c r="C19" s="146"/>
      <c r="D19" s="135">
        <f t="shared" si="1"/>
        <v>113.8</v>
      </c>
      <c r="E19" s="135">
        <f t="shared" si="2"/>
        <v>334.7</v>
      </c>
      <c r="F19" s="133">
        <f t="shared" si="3"/>
        <v>448.5</v>
      </c>
      <c r="G19" s="135">
        <f t="shared" si="4"/>
        <v>11043.8</v>
      </c>
    </row>
    <row r="20" ht="14.25" hidden="1" customHeight="1">
      <c r="A20" s="131">
        <v>16.0</v>
      </c>
      <c r="B20" s="132">
        <v>46232.0</v>
      </c>
      <c r="C20" s="146"/>
      <c r="D20" s="135">
        <f t="shared" si="1"/>
        <v>110.4</v>
      </c>
      <c r="E20" s="135">
        <f t="shared" si="2"/>
        <v>334.7</v>
      </c>
      <c r="F20" s="133">
        <f t="shared" si="3"/>
        <v>445.1</v>
      </c>
      <c r="G20" s="135">
        <f t="shared" si="4"/>
        <v>10709.1</v>
      </c>
    </row>
    <row r="21" ht="14.25" hidden="1" customHeight="1">
      <c r="A21" s="131">
        <v>17.0</v>
      </c>
      <c r="B21" s="132">
        <v>46263.0</v>
      </c>
      <c r="C21" s="146"/>
      <c r="D21" s="135">
        <f t="shared" si="1"/>
        <v>107.1</v>
      </c>
      <c r="E21" s="135">
        <f t="shared" si="2"/>
        <v>334.7</v>
      </c>
      <c r="F21" s="133">
        <f t="shared" si="3"/>
        <v>441.8</v>
      </c>
      <c r="G21" s="135">
        <f t="shared" si="4"/>
        <v>10374.4</v>
      </c>
    </row>
    <row r="22" ht="14.25" hidden="1" customHeight="1">
      <c r="A22" s="131">
        <v>18.0</v>
      </c>
      <c r="B22" s="132">
        <v>46294.0</v>
      </c>
      <c r="C22" s="146"/>
      <c r="D22" s="135">
        <f t="shared" si="1"/>
        <v>103.7</v>
      </c>
      <c r="E22" s="135">
        <f t="shared" si="2"/>
        <v>334.7</v>
      </c>
      <c r="F22" s="133">
        <f t="shared" si="3"/>
        <v>438.4</v>
      </c>
      <c r="G22" s="135">
        <f t="shared" si="4"/>
        <v>10039.7</v>
      </c>
    </row>
    <row r="23" ht="14.25" hidden="1" customHeight="1">
      <c r="A23" s="131">
        <v>19.0</v>
      </c>
      <c r="B23" s="132">
        <v>46324.0</v>
      </c>
      <c r="C23" s="146"/>
      <c r="D23" s="135">
        <f t="shared" si="1"/>
        <v>100.4</v>
      </c>
      <c r="E23" s="135">
        <f t="shared" si="2"/>
        <v>334.7</v>
      </c>
      <c r="F23" s="133">
        <f t="shared" si="3"/>
        <v>435.1</v>
      </c>
      <c r="G23" s="135">
        <f t="shared" si="4"/>
        <v>9705</v>
      </c>
    </row>
    <row r="24" ht="14.25" hidden="1" customHeight="1">
      <c r="A24" s="131">
        <v>20.0</v>
      </c>
      <c r="B24" s="132">
        <v>46355.0</v>
      </c>
      <c r="C24" s="146"/>
      <c r="D24" s="135">
        <f t="shared" si="1"/>
        <v>97.1</v>
      </c>
      <c r="E24" s="135">
        <f t="shared" si="2"/>
        <v>334.7</v>
      </c>
      <c r="F24" s="133">
        <f t="shared" si="3"/>
        <v>431.8</v>
      </c>
      <c r="G24" s="135">
        <f t="shared" si="4"/>
        <v>9370.3</v>
      </c>
    </row>
    <row r="25" ht="14.25" hidden="1" customHeight="1">
      <c r="A25" s="131">
        <v>21.0</v>
      </c>
      <c r="B25" s="132">
        <v>46385.0</v>
      </c>
      <c r="C25" s="146"/>
      <c r="D25" s="135">
        <f t="shared" si="1"/>
        <v>93.7</v>
      </c>
      <c r="E25" s="135">
        <f t="shared" si="2"/>
        <v>334.7</v>
      </c>
      <c r="F25" s="133">
        <f t="shared" si="3"/>
        <v>428.4</v>
      </c>
      <c r="G25" s="135">
        <f t="shared" si="4"/>
        <v>9035.6</v>
      </c>
    </row>
    <row r="26" ht="14.25" hidden="1" customHeight="1">
      <c r="A26" s="131">
        <v>22.0</v>
      </c>
      <c r="B26" s="132">
        <v>46416.0</v>
      </c>
      <c r="C26" s="146"/>
      <c r="D26" s="135">
        <f t="shared" si="1"/>
        <v>90.4</v>
      </c>
      <c r="E26" s="135">
        <f t="shared" si="2"/>
        <v>334.7</v>
      </c>
      <c r="F26" s="133">
        <f t="shared" si="3"/>
        <v>425.1</v>
      </c>
      <c r="G26" s="135">
        <f t="shared" si="4"/>
        <v>8700.9</v>
      </c>
    </row>
    <row r="27" ht="14.25" hidden="1" customHeight="1">
      <c r="A27" s="131">
        <v>23.0</v>
      </c>
      <c r="B27" s="132">
        <v>46446.0</v>
      </c>
      <c r="C27" s="146"/>
      <c r="D27" s="135">
        <f t="shared" si="1"/>
        <v>87</v>
      </c>
      <c r="E27" s="135">
        <f t="shared" si="2"/>
        <v>334.7</v>
      </c>
      <c r="F27" s="133">
        <f t="shared" si="3"/>
        <v>421.7</v>
      </c>
      <c r="G27" s="135">
        <f t="shared" si="4"/>
        <v>8366.2</v>
      </c>
    </row>
    <row r="28" ht="14.25" hidden="1" customHeight="1">
      <c r="A28" s="131">
        <v>24.0</v>
      </c>
      <c r="B28" s="132">
        <v>46475.0</v>
      </c>
      <c r="C28" s="146"/>
      <c r="D28" s="135">
        <f t="shared" si="1"/>
        <v>83.7</v>
      </c>
      <c r="E28" s="135">
        <f t="shared" si="2"/>
        <v>334.7</v>
      </c>
      <c r="F28" s="133">
        <f t="shared" si="3"/>
        <v>418.4</v>
      </c>
      <c r="G28" s="135">
        <f t="shared" si="4"/>
        <v>8031.5</v>
      </c>
    </row>
    <row r="29" ht="14.25" hidden="1" customHeight="1">
      <c r="A29" s="131">
        <v>25.0</v>
      </c>
      <c r="B29" s="132">
        <v>46506.0</v>
      </c>
      <c r="C29" s="146"/>
      <c r="D29" s="135">
        <f t="shared" si="1"/>
        <v>80.3</v>
      </c>
      <c r="E29" s="135">
        <f t="shared" si="2"/>
        <v>334.7</v>
      </c>
      <c r="F29" s="133">
        <f t="shared" si="3"/>
        <v>415</v>
      </c>
      <c r="G29" s="135">
        <f t="shared" si="4"/>
        <v>7696.8</v>
      </c>
    </row>
    <row r="30" ht="14.25" hidden="1" customHeight="1">
      <c r="A30" s="131">
        <v>26.0</v>
      </c>
      <c r="B30" s="132">
        <v>46536.0</v>
      </c>
      <c r="C30" s="146"/>
      <c r="D30" s="135">
        <f t="shared" si="1"/>
        <v>77</v>
      </c>
      <c r="E30" s="135">
        <f t="shared" si="2"/>
        <v>334.7</v>
      </c>
      <c r="F30" s="133">
        <f t="shared" si="3"/>
        <v>411.7</v>
      </c>
      <c r="G30" s="135">
        <f t="shared" si="4"/>
        <v>7362.1</v>
      </c>
    </row>
    <row r="31" ht="14.25" hidden="1" customHeight="1">
      <c r="A31" s="131">
        <v>27.0</v>
      </c>
      <c r="B31" s="132">
        <v>46567.0</v>
      </c>
      <c r="C31" s="146"/>
      <c r="D31" s="135">
        <f t="shared" si="1"/>
        <v>73.6</v>
      </c>
      <c r="E31" s="135">
        <f t="shared" si="2"/>
        <v>334.7</v>
      </c>
      <c r="F31" s="133">
        <f t="shared" si="3"/>
        <v>408.3</v>
      </c>
      <c r="G31" s="135">
        <f t="shared" si="4"/>
        <v>7027.4</v>
      </c>
    </row>
    <row r="32" ht="14.25" hidden="1" customHeight="1">
      <c r="A32" s="131">
        <v>28.0</v>
      </c>
      <c r="B32" s="132">
        <v>46597.0</v>
      </c>
      <c r="C32" s="146"/>
      <c r="D32" s="135">
        <f t="shared" si="1"/>
        <v>70.3</v>
      </c>
      <c r="E32" s="135">
        <f t="shared" si="2"/>
        <v>334.7</v>
      </c>
      <c r="F32" s="133">
        <f t="shared" si="3"/>
        <v>405</v>
      </c>
      <c r="G32" s="135">
        <f t="shared" si="4"/>
        <v>6692.7</v>
      </c>
    </row>
    <row r="33" ht="14.25" hidden="1" customHeight="1">
      <c r="A33" s="131">
        <v>29.0</v>
      </c>
      <c r="B33" s="132">
        <v>46628.0</v>
      </c>
      <c r="C33" s="146"/>
      <c r="D33" s="135">
        <f t="shared" si="1"/>
        <v>66.9</v>
      </c>
      <c r="E33" s="135">
        <f t="shared" si="2"/>
        <v>334.7</v>
      </c>
      <c r="F33" s="133">
        <f t="shared" si="3"/>
        <v>401.6</v>
      </c>
      <c r="G33" s="135">
        <f t="shared" si="4"/>
        <v>6358</v>
      </c>
    </row>
    <row r="34" ht="14.25" hidden="1" customHeight="1">
      <c r="A34" s="131">
        <v>30.0</v>
      </c>
      <c r="B34" s="132">
        <v>46659.0</v>
      </c>
      <c r="C34" s="146"/>
      <c r="D34" s="135">
        <f t="shared" si="1"/>
        <v>63.6</v>
      </c>
      <c r="E34" s="135">
        <f t="shared" si="2"/>
        <v>334.7</v>
      </c>
      <c r="F34" s="133">
        <f t="shared" si="3"/>
        <v>398.3</v>
      </c>
      <c r="G34" s="135">
        <f t="shared" si="4"/>
        <v>6023.3</v>
      </c>
    </row>
    <row r="35" ht="14.25" hidden="1" customHeight="1">
      <c r="A35" s="131">
        <v>31.0</v>
      </c>
      <c r="B35" s="132">
        <v>46689.0</v>
      </c>
      <c r="C35" s="146"/>
      <c r="D35" s="135">
        <f t="shared" si="1"/>
        <v>60.2</v>
      </c>
      <c r="E35" s="135">
        <f t="shared" si="2"/>
        <v>334.7</v>
      </c>
      <c r="F35" s="133">
        <f t="shared" si="3"/>
        <v>394.9</v>
      </c>
      <c r="G35" s="135">
        <f t="shared" si="4"/>
        <v>5688.6</v>
      </c>
    </row>
    <row r="36" ht="14.25" hidden="1" customHeight="1">
      <c r="A36" s="131">
        <v>32.0</v>
      </c>
      <c r="B36" s="132">
        <v>46720.0</v>
      </c>
      <c r="C36" s="146"/>
      <c r="D36" s="135">
        <f t="shared" si="1"/>
        <v>56.9</v>
      </c>
      <c r="E36" s="135">
        <f t="shared" si="2"/>
        <v>334.7</v>
      </c>
      <c r="F36" s="133">
        <f t="shared" si="3"/>
        <v>391.6</v>
      </c>
      <c r="G36" s="135">
        <f t="shared" si="4"/>
        <v>5353.9</v>
      </c>
    </row>
    <row r="37" ht="14.25" hidden="1" customHeight="1">
      <c r="A37" s="131">
        <v>33.0</v>
      </c>
      <c r="B37" s="132">
        <v>46750.0</v>
      </c>
      <c r="C37" s="146"/>
      <c r="D37" s="135">
        <f t="shared" si="1"/>
        <v>53.5</v>
      </c>
      <c r="E37" s="135">
        <f t="shared" si="2"/>
        <v>334.7</v>
      </c>
      <c r="F37" s="133">
        <f t="shared" si="3"/>
        <v>388.2</v>
      </c>
      <c r="G37" s="135">
        <f t="shared" si="4"/>
        <v>5019.2</v>
      </c>
    </row>
    <row r="38" ht="14.25" hidden="1" customHeight="1">
      <c r="A38" s="131">
        <v>34.0</v>
      </c>
      <c r="B38" s="132">
        <v>46781.0</v>
      </c>
      <c r="C38" s="146"/>
      <c r="D38" s="135">
        <f t="shared" si="1"/>
        <v>50.2</v>
      </c>
      <c r="E38" s="135">
        <f t="shared" si="2"/>
        <v>334.7</v>
      </c>
      <c r="F38" s="133">
        <f t="shared" si="3"/>
        <v>384.9</v>
      </c>
      <c r="G38" s="135">
        <f t="shared" si="4"/>
        <v>4684.5</v>
      </c>
    </row>
    <row r="39" ht="14.25" hidden="1" customHeight="1">
      <c r="A39" s="131">
        <v>35.0</v>
      </c>
      <c r="B39" s="132">
        <v>46812.0</v>
      </c>
      <c r="C39" s="146"/>
      <c r="D39" s="135">
        <f t="shared" si="1"/>
        <v>46.8</v>
      </c>
      <c r="E39" s="135">
        <f t="shared" si="2"/>
        <v>334.7</v>
      </c>
      <c r="F39" s="133">
        <f t="shared" si="3"/>
        <v>381.5</v>
      </c>
      <c r="G39" s="135">
        <f t="shared" si="4"/>
        <v>4349.8</v>
      </c>
    </row>
    <row r="40" ht="14.25" hidden="1" customHeight="1">
      <c r="A40" s="131">
        <v>36.0</v>
      </c>
      <c r="B40" s="132">
        <v>46841.0</v>
      </c>
      <c r="C40" s="146"/>
      <c r="D40" s="135">
        <f t="shared" si="1"/>
        <v>43.5</v>
      </c>
      <c r="E40" s="135">
        <f t="shared" si="2"/>
        <v>334.7</v>
      </c>
      <c r="F40" s="133">
        <f t="shared" si="3"/>
        <v>378.2</v>
      </c>
      <c r="G40" s="135">
        <f t="shared" si="4"/>
        <v>4015.1</v>
      </c>
    </row>
    <row r="41" ht="14.25" hidden="1" customHeight="1">
      <c r="A41" s="131">
        <v>37.0</v>
      </c>
      <c r="B41" s="132">
        <v>46872.0</v>
      </c>
      <c r="C41" s="146"/>
      <c r="D41" s="135">
        <f t="shared" si="1"/>
        <v>40.2</v>
      </c>
      <c r="E41" s="135">
        <f t="shared" si="2"/>
        <v>334.7</v>
      </c>
      <c r="F41" s="133">
        <f t="shared" si="3"/>
        <v>374.9</v>
      </c>
      <c r="G41" s="135">
        <f t="shared" si="4"/>
        <v>3680.4</v>
      </c>
    </row>
    <row r="42" ht="14.25" hidden="1" customHeight="1">
      <c r="A42" s="131">
        <v>38.0</v>
      </c>
      <c r="B42" s="132">
        <v>46902.0</v>
      </c>
      <c r="C42" s="146"/>
      <c r="D42" s="135">
        <f t="shared" si="1"/>
        <v>36.8</v>
      </c>
      <c r="E42" s="135">
        <f t="shared" si="2"/>
        <v>334.7</v>
      </c>
      <c r="F42" s="133">
        <f t="shared" si="3"/>
        <v>371.5</v>
      </c>
      <c r="G42" s="135">
        <f t="shared" si="4"/>
        <v>3345.7</v>
      </c>
    </row>
    <row r="43" ht="14.25" hidden="1" customHeight="1">
      <c r="A43" s="131">
        <v>39.0</v>
      </c>
      <c r="B43" s="132">
        <v>46933.0</v>
      </c>
      <c r="C43" s="146"/>
      <c r="D43" s="135">
        <f t="shared" si="1"/>
        <v>33.5</v>
      </c>
      <c r="E43" s="135">
        <f t="shared" si="2"/>
        <v>334.7</v>
      </c>
      <c r="F43" s="133">
        <f t="shared" si="3"/>
        <v>368.2</v>
      </c>
      <c r="G43" s="135">
        <f t="shared" si="4"/>
        <v>3011</v>
      </c>
    </row>
    <row r="44" ht="14.25" hidden="1" customHeight="1">
      <c r="A44" s="131">
        <v>40.0</v>
      </c>
      <c r="B44" s="132">
        <v>46963.0</v>
      </c>
      <c r="C44" s="146"/>
      <c r="D44" s="135">
        <f t="shared" si="1"/>
        <v>30.1</v>
      </c>
      <c r="E44" s="135">
        <f t="shared" si="2"/>
        <v>334.7</v>
      </c>
      <c r="F44" s="133">
        <f t="shared" si="3"/>
        <v>364.8</v>
      </c>
      <c r="G44" s="135">
        <f t="shared" si="4"/>
        <v>2676.3</v>
      </c>
    </row>
    <row r="45" ht="14.25" hidden="1" customHeight="1">
      <c r="A45" s="131">
        <v>41.0</v>
      </c>
      <c r="B45" s="132">
        <v>46994.0</v>
      </c>
      <c r="C45" s="146"/>
      <c r="D45" s="135">
        <f t="shared" si="1"/>
        <v>26.8</v>
      </c>
      <c r="E45" s="135">
        <f t="shared" si="2"/>
        <v>334.7</v>
      </c>
      <c r="F45" s="133">
        <f t="shared" si="3"/>
        <v>361.5</v>
      </c>
      <c r="G45" s="135">
        <f t="shared" si="4"/>
        <v>2341.6</v>
      </c>
    </row>
    <row r="46" ht="14.25" hidden="1" customHeight="1">
      <c r="A46" s="131">
        <v>42.0</v>
      </c>
      <c r="B46" s="132">
        <v>47025.0</v>
      </c>
      <c r="C46" s="146"/>
      <c r="D46" s="135">
        <f t="shared" si="1"/>
        <v>23.4</v>
      </c>
      <c r="E46" s="135">
        <f t="shared" si="2"/>
        <v>334.7</v>
      </c>
      <c r="F46" s="133">
        <f t="shared" si="3"/>
        <v>358.1</v>
      </c>
      <c r="G46" s="135">
        <f t="shared" si="4"/>
        <v>2006.9</v>
      </c>
    </row>
    <row r="47" ht="14.25" hidden="1" customHeight="1">
      <c r="A47" s="131">
        <v>43.0</v>
      </c>
      <c r="B47" s="132">
        <v>47055.0</v>
      </c>
      <c r="C47" s="146"/>
      <c r="D47" s="135">
        <f t="shared" si="1"/>
        <v>20.1</v>
      </c>
      <c r="E47" s="135">
        <f t="shared" si="2"/>
        <v>334.7</v>
      </c>
      <c r="F47" s="133">
        <f t="shared" si="3"/>
        <v>354.8</v>
      </c>
      <c r="G47" s="135">
        <f t="shared" si="4"/>
        <v>1672.2</v>
      </c>
    </row>
    <row r="48" ht="14.25" hidden="1" customHeight="1">
      <c r="A48" s="131">
        <v>44.0</v>
      </c>
      <c r="B48" s="132">
        <v>47086.0</v>
      </c>
      <c r="C48" s="146"/>
      <c r="D48" s="135">
        <f t="shared" si="1"/>
        <v>16.7</v>
      </c>
      <c r="E48" s="135">
        <f t="shared" si="2"/>
        <v>334.7</v>
      </c>
      <c r="F48" s="133">
        <f t="shared" si="3"/>
        <v>351.4</v>
      </c>
      <c r="G48" s="135">
        <f t="shared" si="4"/>
        <v>1337.5</v>
      </c>
    </row>
    <row r="49" ht="14.25" hidden="1" customHeight="1">
      <c r="A49" s="131">
        <v>45.0</v>
      </c>
      <c r="B49" s="132">
        <v>47116.0</v>
      </c>
      <c r="C49" s="146"/>
      <c r="D49" s="135">
        <f t="shared" si="1"/>
        <v>13.4</v>
      </c>
      <c r="E49" s="135">
        <f t="shared" si="2"/>
        <v>334.7</v>
      </c>
      <c r="F49" s="133">
        <f t="shared" si="3"/>
        <v>348.1</v>
      </c>
      <c r="G49" s="135">
        <f t="shared" si="4"/>
        <v>1002.8</v>
      </c>
    </row>
    <row r="50" ht="14.25" hidden="1" customHeight="1">
      <c r="A50" s="131">
        <v>46.0</v>
      </c>
      <c r="B50" s="132">
        <v>47147.0</v>
      </c>
      <c r="C50" s="146"/>
      <c r="D50" s="135">
        <f t="shared" si="1"/>
        <v>10</v>
      </c>
      <c r="E50" s="135">
        <f t="shared" si="2"/>
        <v>334.7</v>
      </c>
      <c r="F50" s="133">
        <f t="shared" si="3"/>
        <v>344.7</v>
      </c>
      <c r="G50" s="135">
        <f t="shared" si="4"/>
        <v>668.1</v>
      </c>
    </row>
    <row r="51" ht="14.25" hidden="1" customHeight="1">
      <c r="A51" s="131">
        <v>47.0</v>
      </c>
      <c r="B51" s="132">
        <v>47177.0</v>
      </c>
      <c r="C51" s="146"/>
      <c r="D51" s="135">
        <f t="shared" si="1"/>
        <v>6.7</v>
      </c>
      <c r="E51" s="135">
        <f t="shared" si="2"/>
        <v>334.7</v>
      </c>
      <c r="F51" s="133">
        <f t="shared" si="3"/>
        <v>341.4</v>
      </c>
      <c r="G51" s="135">
        <f t="shared" si="4"/>
        <v>333.4</v>
      </c>
    </row>
    <row r="52" ht="14.25" hidden="1" customHeight="1">
      <c r="A52" s="131">
        <v>48.0</v>
      </c>
      <c r="B52" s="132">
        <v>47206.0</v>
      </c>
      <c r="C52" s="146"/>
      <c r="D52" s="135">
        <f t="shared" si="1"/>
        <v>3.3</v>
      </c>
      <c r="E52" s="135">
        <f>ROUNDUP($C$4/48,1)-1.3</f>
        <v>333.4</v>
      </c>
      <c r="F52" s="133">
        <f t="shared" si="3"/>
        <v>336.7</v>
      </c>
      <c r="G52" s="135">
        <f t="shared" si="4"/>
        <v>0</v>
      </c>
    </row>
    <row r="53" ht="14.25" customHeight="1">
      <c r="A53" s="129" t="s">
        <v>252</v>
      </c>
      <c r="B53" s="2"/>
      <c r="C53" s="3"/>
      <c r="D53" s="147">
        <f t="shared" ref="D53:F53" si="5">+SUM(D5:D52)</f>
        <v>3935.5</v>
      </c>
      <c r="E53" s="147">
        <f t="shared" si="5"/>
        <v>16064.3</v>
      </c>
      <c r="F53" s="147">
        <f t="shared" si="5"/>
        <v>19999.8</v>
      </c>
      <c r="G53" s="148"/>
    </row>
    <row r="54" ht="14.25" customHeight="1"/>
    <row r="55" ht="14.25" customHeight="1">
      <c r="A55" s="150" t="s">
        <v>333</v>
      </c>
      <c r="B55" s="2"/>
      <c r="C55" s="2"/>
      <c r="D55" s="2"/>
      <c r="E55" s="2"/>
      <c r="F55" s="2"/>
      <c r="G55" s="3"/>
    </row>
    <row r="56" ht="14.25" customHeight="1">
      <c r="A56" s="130" t="s">
        <v>326</v>
      </c>
      <c r="B56" s="130" t="s">
        <v>256</v>
      </c>
      <c r="C56" s="130" t="s">
        <v>327</v>
      </c>
      <c r="D56" s="130" t="s">
        <v>328</v>
      </c>
      <c r="E56" s="130" t="s">
        <v>329</v>
      </c>
      <c r="F56" s="130" t="s">
        <v>330</v>
      </c>
      <c r="G56" s="130" t="s">
        <v>209</v>
      </c>
    </row>
    <row r="57" ht="14.25" customHeight="1">
      <c r="A57" s="131">
        <v>0.0</v>
      </c>
      <c r="B57" s="132">
        <v>46081.0</v>
      </c>
      <c r="C57" s="133">
        <f>+J60</f>
        <v>23085</v>
      </c>
      <c r="D57" s="134">
        <v>0.01</v>
      </c>
      <c r="E57" s="135"/>
      <c r="F57" s="135"/>
      <c r="G57" s="135">
        <f>+C57</f>
        <v>23085</v>
      </c>
    </row>
    <row r="58" ht="14.25" customHeight="1">
      <c r="A58" s="131">
        <v>1.0</v>
      </c>
      <c r="B58" s="132">
        <v>46110.0</v>
      </c>
      <c r="C58" s="146"/>
      <c r="D58" s="135">
        <f t="shared" ref="D58:D117" si="6">+ROUND(G57*0.01,1)</f>
        <v>230.9</v>
      </c>
      <c r="E58" s="135">
        <f t="shared" ref="E58:E116" si="7">ROUND($C$57/60,1)</f>
        <v>384.8</v>
      </c>
      <c r="F58" s="133">
        <f t="shared" ref="F58:F117" si="8">+ROUND(D58+E58,1)</f>
        <v>615.7</v>
      </c>
      <c r="G58" s="135">
        <f t="shared" ref="G58:G117" si="9">+ROUND(G57-E58,1)</f>
        <v>22700.2</v>
      </c>
      <c r="I58" s="140" t="s">
        <v>209</v>
      </c>
      <c r="J58" s="141">
        <f>G15</f>
        <v>12382.6</v>
      </c>
    </row>
    <row r="59" ht="14.25" customHeight="1">
      <c r="A59" s="131">
        <v>2.0</v>
      </c>
      <c r="B59" s="132">
        <v>46141.0</v>
      </c>
      <c r="C59" s="146"/>
      <c r="D59" s="135">
        <f t="shared" si="6"/>
        <v>227</v>
      </c>
      <c r="E59" s="135">
        <f t="shared" si="7"/>
        <v>384.8</v>
      </c>
      <c r="F59" s="133">
        <f t="shared" si="8"/>
        <v>611.8</v>
      </c>
      <c r="G59" s="135">
        <f t="shared" si="9"/>
        <v>22315.4</v>
      </c>
      <c r="I59" s="140" t="s">
        <v>331</v>
      </c>
      <c r="J59" s="151">
        <v>10702.4</v>
      </c>
    </row>
    <row r="60" ht="14.25" customHeight="1">
      <c r="A60" s="131">
        <v>3.0</v>
      </c>
      <c r="B60" s="132">
        <v>46171.0</v>
      </c>
      <c r="C60" s="146"/>
      <c r="D60" s="135">
        <f t="shared" si="6"/>
        <v>223.2</v>
      </c>
      <c r="E60" s="135">
        <f t="shared" si="7"/>
        <v>384.8</v>
      </c>
      <c r="F60" s="133">
        <f t="shared" si="8"/>
        <v>608</v>
      </c>
      <c r="G60" s="135">
        <f t="shared" si="9"/>
        <v>21930.6</v>
      </c>
      <c r="I60" s="142" t="s">
        <v>252</v>
      </c>
      <c r="J60" s="143">
        <f>+SUM(J58:J59)</f>
        <v>23085</v>
      </c>
    </row>
    <row r="61" ht="14.25" customHeight="1">
      <c r="A61" s="131">
        <v>4.0</v>
      </c>
      <c r="B61" s="132">
        <v>46202.0</v>
      </c>
      <c r="C61" s="146"/>
      <c r="D61" s="135">
        <f t="shared" si="6"/>
        <v>219.3</v>
      </c>
      <c r="E61" s="135">
        <f t="shared" si="7"/>
        <v>384.8</v>
      </c>
      <c r="F61" s="133">
        <f t="shared" si="8"/>
        <v>604.1</v>
      </c>
      <c r="G61" s="135">
        <f t="shared" si="9"/>
        <v>21545.8</v>
      </c>
    </row>
    <row r="62" ht="14.25" customHeight="1">
      <c r="A62" s="131">
        <v>5.0</v>
      </c>
      <c r="B62" s="132">
        <v>46232.0</v>
      </c>
      <c r="C62" s="146"/>
      <c r="D62" s="135">
        <f t="shared" si="6"/>
        <v>215.5</v>
      </c>
      <c r="E62" s="135">
        <f t="shared" si="7"/>
        <v>384.8</v>
      </c>
      <c r="F62" s="133">
        <f t="shared" si="8"/>
        <v>600.3</v>
      </c>
      <c r="G62" s="135">
        <f t="shared" si="9"/>
        <v>21161</v>
      </c>
    </row>
    <row r="63" ht="14.25" customHeight="1">
      <c r="A63" s="131">
        <v>6.0</v>
      </c>
      <c r="B63" s="132">
        <v>46263.0</v>
      </c>
      <c r="C63" s="146"/>
      <c r="D63" s="135">
        <f t="shared" si="6"/>
        <v>211.6</v>
      </c>
      <c r="E63" s="135">
        <f t="shared" si="7"/>
        <v>384.8</v>
      </c>
      <c r="F63" s="133">
        <f t="shared" si="8"/>
        <v>596.4</v>
      </c>
      <c r="G63" s="135">
        <f t="shared" si="9"/>
        <v>20776.2</v>
      </c>
    </row>
    <row r="64" ht="14.25" customHeight="1">
      <c r="A64" s="131">
        <v>7.0</v>
      </c>
      <c r="B64" s="132">
        <v>46294.0</v>
      </c>
      <c r="C64" s="146"/>
      <c r="D64" s="135">
        <f t="shared" si="6"/>
        <v>207.8</v>
      </c>
      <c r="E64" s="135">
        <f t="shared" si="7"/>
        <v>384.8</v>
      </c>
      <c r="F64" s="133">
        <f t="shared" si="8"/>
        <v>592.6</v>
      </c>
      <c r="G64" s="135">
        <f t="shared" si="9"/>
        <v>20391.4</v>
      </c>
    </row>
    <row r="65" ht="14.25" customHeight="1">
      <c r="A65" s="131">
        <v>8.0</v>
      </c>
      <c r="B65" s="132">
        <v>46324.0</v>
      </c>
      <c r="C65" s="146"/>
      <c r="D65" s="135">
        <f t="shared" si="6"/>
        <v>203.9</v>
      </c>
      <c r="E65" s="135">
        <f t="shared" si="7"/>
        <v>384.8</v>
      </c>
      <c r="F65" s="133">
        <f t="shared" si="8"/>
        <v>588.7</v>
      </c>
      <c r="G65" s="135">
        <f t="shared" si="9"/>
        <v>20006.6</v>
      </c>
    </row>
    <row r="66" ht="14.25" customHeight="1">
      <c r="A66" s="131">
        <v>9.0</v>
      </c>
      <c r="B66" s="132">
        <v>46355.0</v>
      </c>
      <c r="C66" s="146"/>
      <c r="D66" s="135">
        <f t="shared" si="6"/>
        <v>200.1</v>
      </c>
      <c r="E66" s="135">
        <f t="shared" si="7"/>
        <v>384.8</v>
      </c>
      <c r="F66" s="133">
        <f t="shared" si="8"/>
        <v>584.9</v>
      </c>
      <c r="G66" s="135">
        <f t="shared" si="9"/>
        <v>19621.8</v>
      </c>
    </row>
    <row r="67" ht="14.25" customHeight="1">
      <c r="A67" s="131">
        <v>10.0</v>
      </c>
      <c r="B67" s="132">
        <v>46385.0</v>
      </c>
      <c r="C67" s="146"/>
      <c r="D67" s="135">
        <f t="shared" si="6"/>
        <v>196.2</v>
      </c>
      <c r="E67" s="135">
        <f t="shared" si="7"/>
        <v>384.8</v>
      </c>
      <c r="F67" s="133">
        <f t="shared" si="8"/>
        <v>581</v>
      </c>
      <c r="G67" s="135">
        <f t="shared" si="9"/>
        <v>19237</v>
      </c>
    </row>
    <row r="68" ht="14.25" customHeight="1">
      <c r="A68" s="131">
        <v>11.0</v>
      </c>
      <c r="B68" s="132">
        <v>46416.0</v>
      </c>
      <c r="C68" s="146"/>
      <c r="D68" s="135">
        <f t="shared" si="6"/>
        <v>192.4</v>
      </c>
      <c r="E68" s="135">
        <f t="shared" si="7"/>
        <v>384.8</v>
      </c>
      <c r="F68" s="133">
        <f t="shared" si="8"/>
        <v>577.2</v>
      </c>
      <c r="G68" s="135">
        <f t="shared" si="9"/>
        <v>18852.2</v>
      </c>
    </row>
    <row r="69" ht="14.25" customHeight="1">
      <c r="A69" s="131">
        <v>12.0</v>
      </c>
      <c r="B69" s="132">
        <v>46446.0</v>
      </c>
      <c r="C69" s="146"/>
      <c r="D69" s="135">
        <f t="shared" si="6"/>
        <v>188.5</v>
      </c>
      <c r="E69" s="135">
        <f t="shared" si="7"/>
        <v>384.8</v>
      </c>
      <c r="F69" s="133">
        <f t="shared" si="8"/>
        <v>573.3</v>
      </c>
      <c r="G69" s="135">
        <f t="shared" si="9"/>
        <v>18467.4</v>
      </c>
    </row>
    <row r="70" ht="14.25" customHeight="1">
      <c r="A70" s="131">
        <v>13.0</v>
      </c>
      <c r="B70" s="132">
        <v>46475.0</v>
      </c>
      <c r="C70" s="146"/>
      <c r="D70" s="135">
        <f t="shared" si="6"/>
        <v>184.7</v>
      </c>
      <c r="E70" s="135">
        <f t="shared" si="7"/>
        <v>384.8</v>
      </c>
      <c r="F70" s="133">
        <f t="shared" si="8"/>
        <v>569.5</v>
      </c>
      <c r="G70" s="135">
        <f t="shared" si="9"/>
        <v>18082.6</v>
      </c>
    </row>
    <row r="71" ht="14.25" customHeight="1">
      <c r="A71" s="131">
        <v>14.0</v>
      </c>
      <c r="B71" s="132">
        <v>46506.0</v>
      </c>
      <c r="C71" s="146"/>
      <c r="D71" s="135">
        <f t="shared" si="6"/>
        <v>180.8</v>
      </c>
      <c r="E71" s="135">
        <f t="shared" si="7"/>
        <v>384.8</v>
      </c>
      <c r="F71" s="133">
        <f t="shared" si="8"/>
        <v>565.6</v>
      </c>
      <c r="G71" s="135">
        <f t="shared" si="9"/>
        <v>17697.8</v>
      </c>
    </row>
    <row r="72" ht="14.25" customHeight="1">
      <c r="A72" s="131">
        <v>15.0</v>
      </c>
      <c r="B72" s="132">
        <v>46536.0</v>
      </c>
      <c r="C72" s="146"/>
      <c r="D72" s="135">
        <f t="shared" si="6"/>
        <v>177</v>
      </c>
      <c r="E72" s="135">
        <f t="shared" si="7"/>
        <v>384.8</v>
      </c>
      <c r="F72" s="133">
        <f t="shared" si="8"/>
        <v>561.8</v>
      </c>
      <c r="G72" s="135">
        <f t="shared" si="9"/>
        <v>17313</v>
      </c>
    </row>
    <row r="73" ht="14.25" customHeight="1">
      <c r="A73" s="131">
        <v>16.0</v>
      </c>
      <c r="B73" s="132">
        <v>46567.0</v>
      </c>
      <c r="C73" s="146"/>
      <c r="D73" s="135">
        <f t="shared" si="6"/>
        <v>173.1</v>
      </c>
      <c r="E73" s="135">
        <f t="shared" si="7"/>
        <v>384.8</v>
      </c>
      <c r="F73" s="133">
        <f t="shared" si="8"/>
        <v>557.9</v>
      </c>
      <c r="G73" s="135">
        <f t="shared" si="9"/>
        <v>16928.2</v>
      </c>
    </row>
    <row r="74" ht="14.25" customHeight="1">
      <c r="A74" s="131">
        <v>17.0</v>
      </c>
      <c r="B74" s="132">
        <v>46597.0</v>
      </c>
      <c r="C74" s="146"/>
      <c r="D74" s="135">
        <f t="shared" si="6"/>
        <v>169.3</v>
      </c>
      <c r="E74" s="135">
        <f t="shared" si="7"/>
        <v>384.8</v>
      </c>
      <c r="F74" s="133">
        <f t="shared" si="8"/>
        <v>554.1</v>
      </c>
      <c r="G74" s="135">
        <f t="shared" si="9"/>
        <v>16543.4</v>
      </c>
    </row>
    <row r="75" ht="14.25" customHeight="1">
      <c r="A75" s="131">
        <v>18.0</v>
      </c>
      <c r="B75" s="132">
        <v>46628.0</v>
      </c>
      <c r="C75" s="146"/>
      <c r="D75" s="135">
        <f t="shared" si="6"/>
        <v>165.4</v>
      </c>
      <c r="E75" s="135">
        <f t="shared" si="7"/>
        <v>384.8</v>
      </c>
      <c r="F75" s="133">
        <f t="shared" si="8"/>
        <v>550.2</v>
      </c>
      <c r="G75" s="135">
        <f t="shared" si="9"/>
        <v>16158.6</v>
      </c>
    </row>
    <row r="76" ht="14.25" customHeight="1">
      <c r="A76" s="131">
        <v>19.0</v>
      </c>
      <c r="B76" s="132">
        <v>46659.0</v>
      </c>
      <c r="C76" s="146"/>
      <c r="D76" s="135">
        <f t="shared" si="6"/>
        <v>161.6</v>
      </c>
      <c r="E76" s="135">
        <f t="shared" si="7"/>
        <v>384.8</v>
      </c>
      <c r="F76" s="133">
        <f t="shared" si="8"/>
        <v>546.4</v>
      </c>
      <c r="G76" s="135">
        <f t="shared" si="9"/>
        <v>15773.8</v>
      </c>
    </row>
    <row r="77" ht="14.25" customHeight="1">
      <c r="A77" s="131">
        <v>20.0</v>
      </c>
      <c r="B77" s="132">
        <v>46689.0</v>
      </c>
      <c r="C77" s="146"/>
      <c r="D77" s="135">
        <f t="shared" si="6"/>
        <v>157.7</v>
      </c>
      <c r="E77" s="135">
        <f t="shared" si="7"/>
        <v>384.8</v>
      </c>
      <c r="F77" s="133">
        <f t="shared" si="8"/>
        <v>542.5</v>
      </c>
      <c r="G77" s="135">
        <f t="shared" si="9"/>
        <v>15389</v>
      </c>
    </row>
    <row r="78" ht="14.25" customHeight="1">
      <c r="A78" s="131">
        <v>21.0</v>
      </c>
      <c r="B78" s="132">
        <v>46720.0</v>
      </c>
      <c r="C78" s="146"/>
      <c r="D78" s="135">
        <f t="shared" si="6"/>
        <v>153.9</v>
      </c>
      <c r="E78" s="135">
        <f t="shared" si="7"/>
        <v>384.8</v>
      </c>
      <c r="F78" s="133">
        <f t="shared" si="8"/>
        <v>538.7</v>
      </c>
      <c r="G78" s="135">
        <f t="shared" si="9"/>
        <v>15004.2</v>
      </c>
    </row>
    <row r="79" ht="14.25" customHeight="1">
      <c r="A79" s="131">
        <v>22.0</v>
      </c>
      <c r="B79" s="132">
        <v>46750.0</v>
      </c>
      <c r="C79" s="146"/>
      <c r="D79" s="135">
        <f t="shared" si="6"/>
        <v>150</v>
      </c>
      <c r="E79" s="135">
        <f t="shared" si="7"/>
        <v>384.8</v>
      </c>
      <c r="F79" s="133">
        <f t="shared" si="8"/>
        <v>534.8</v>
      </c>
      <c r="G79" s="135">
        <f t="shared" si="9"/>
        <v>14619.4</v>
      </c>
    </row>
    <row r="80" ht="14.25" customHeight="1">
      <c r="A80" s="131">
        <v>23.0</v>
      </c>
      <c r="B80" s="132">
        <v>46781.0</v>
      </c>
      <c r="C80" s="146"/>
      <c r="D80" s="135">
        <f t="shared" si="6"/>
        <v>146.2</v>
      </c>
      <c r="E80" s="135">
        <f t="shared" si="7"/>
        <v>384.8</v>
      </c>
      <c r="F80" s="133">
        <f t="shared" si="8"/>
        <v>531</v>
      </c>
      <c r="G80" s="135">
        <f t="shared" si="9"/>
        <v>14234.6</v>
      </c>
    </row>
    <row r="81" ht="14.25" customHeight="1">
      <c r="A81" s="131">
        <v>24.0</v>
      </c>
      <c r="B81" s="132">
        <v>46812.0</v>
      </c>
      <c r="C81" s="146"/>
      <c r="D81" s="135">
        <f t="shared" si="6"/>
        <v>142.3</v>
      </c>
      <c r="E81" s="135">
        <f t="shared" si="7"/>
        <v>384.8</v>
      </c>
      <c r="F81" s="133">
        <f t="shared" si="8"/>
        <v>527.1</v>
      </c>
      <c r="G81" s="135">
        <f t="shared" si="9"/>
        <v>13849.8</v>
      </c>
    </row>
    <row r="82" ht="14.25" customHeight="1">
      <c r="A82" s="131">
        <v>25.0</v>
      </c>
      <c r="B82" s="132">
        <v>46841.0</v>
      </c>
      <c r="C82" s="146"/>
      <c r="D82" s="135">
        <f t="shared" si="6"/>
        <v>138.5</v>
      </c>
      <c r="E82" s="135">
        <f t="shared" si="7"/>
        <v>384.8</v>
      </c>
      <c r="F82" s="133">
        <f t="shared" si="8"/>
        <v>523.3</v>
      </c>
      <c r="G82" s="135">
        <f t="shared" si="9"/>
        <v>13465</v>
      </c>
    </row>
    <row r="83" ht="14.25" customHeight="1">
      <c r="A83" s="131">
        <v>26.0</v>
      </c>
      <c r="B83" s="132">
        <v>46872.0</v>
      </c>
      <c r="C83" s="146"/>
      <c r="D83" s="135">
        <f t="shared" si="6"/>
        <v>134.7</v>
      </c>
      <c r="E83" s="135">
        <f t="shared" si="7"/>
        <v>384.8</v>
      </c>
      <c r="F83" s="133">
        <f t="shared" si="8"/>
        <v>519.5</v>
      </c>
      <c r="G83" s="135">
        <f t="shared" si="9"/>
        <v>13080.2</v>
      </c>
    </row>
    <row r="84" ht="14.25" customHeight="1">
      <c r="A84" s="131">
        <v>27.0</v>
      </c>
      <c r="B84" s="132">
        <v>46902.0</v>
      </c>
      <c r="C84" s="146"/>
      <c r="D84" s="135">
        <f t="shared" si="6"/>
        <v>130.8</v>
      </c>
      <c r="E84" s="135">
        <f t="shared" si="7"/>
        <v>384.8</v>
      </c>
      <c r="F84" s="133">
        <f t="shared" si="8"/>
        <v>515.6</v>
      </c>
      <c r="G84" s="135">
        <f t="shared" si="9"/>
        <v>12695.4</v>
      </c>
    </row>
    <row r="85" ht="14.25" customHeight="1">
      <c r="A85" s="131">
        <v>28.0</v>
      </c>
      <c r="B85" s="132">
        <v>46933.0</v>
      </c>
      <c r="C85" s="146"/>
      <c r="D85" s="135">
        <f t="shared" si="6"/>
        <v>127</v>
      </c>
      <c r="E85" s="135">
        <f t="shared" si="7"/>
        <v>384.8</v>
      </c>
      <c r="F85" s="133">
        <f t="shared" si="8"/>
        <v>511.8</v>
      </c>
      <c r="G85" s="135">
        <f t="shared" si="9"/>
        <v>12310.6</v>
      </c>
    </row>
    <row r="86" ht="14.25" customHeight="1">
      <c r="A86" s="131">
        <v>29.0</v>
      </c>
      <c r="B86" s="132">
        <v>46963.0</v>
      </c>
      <c r="C86" s="146"/>
      <c r="D86" s="135">
        <f t="shared" si="6"/>
        <v>123.1</v>
      </c>
      <c r="E86" s="135">
        <f t="shared" si="7"/>
        <v>384.8</v>
      </c>
      <c r="F86" s="133">
        <f t="shared" si="8"/>
        <v>507.9</v>
      </c>
      <c r="G86" s="135">
        <f t="shared" si="9"/>
        <v>11925.8</v>
      </c>
    </row>
    <row r="87" ht="14.25" customHeight="1">
      <c r="A87" s="131">
        <v>30.0</v>
      </c>
      <c r="B87" s="132">
        <v>46994.0</v>
      </c>
      <c r="C87" s="146"/>
      <c r="D87" s="135">
        <f t="shared" si="6"/>
        <v>119.3</v>
      </c>
      <c r="E87" s="135">
        <f t="shared" si="7"/>
        <v>384.8</v>
      </c>
      <c r="F87" s="133">
        <f t="shared" si="8"/>
        <v>504.1</v>
      </c>
      <c r="G87" s="135">
        <f t="shared" si="9"/>
        <v>11541</v>
      </c>
    </row>
    <row r="88" ht="14.25" customHeight="1">
      <c r="A88" s="131">
        <v>31.0</v>
      </c>
      <c r="B88" s="132">
        <v>47025.0</v>
      </c>
      <c r="C88" s="146"/>
      <c r="D88" s="135">
        <f t="shared" si="6"/>
        <v>115.4</v>
      </c>
      <c r="E88" s="135">
        <f t="shared" si="7"/>
        <v>384.8</v>
      </c>
      <c r="F88" s="133">
        <f t="shared" si="8"/>
        <v>500.2</v>
      </c>
      <c r="G88" s="135">
        <f t="shared" si="9"/>
        <v>11156.2</v>
      </c>
    </row>
    <row r="89" ht="14.25" customHeight="1">
      <c r="A89" s="131">
        <v>32.0</v>
      </c>
      <c r="B89" s="132">
        <v>47055.0</v>
      </c>
      <c r="C89" s="146"/>
      <c r="D89" s="135">
        <f t="shared" si="6"/>
        <v>111.6</v>
      </c>
      <c r="E89" s="135">
        <f t="shared" si="7"/>
        <v>384.8</v>
      </c>
      <c r="F89" s="133">
        <f t="shared" si="8"/>
        <v>496.4</v>
      </c>
      <c r="G89" s="135">
        <f t="shared" si="9"/>
        <v>10771.4</v>
      </c>
    </row>
    <row r="90" ht="14.25" customHeight="1">
      <c r="A90" s="131">
        <v>33.0</v>
      </c>
      <c r="B90" s="132">
        <v>47086.0</v>
      </c>
      <c r="C90" s="146"/>
      <c r="D90" s="135">
        <f t="shared" si="6"/>
        <v>107.7</v>
      </c>
      <c r="E90" s="135">
        <f t="shared" si="7"/>
        <v>384.8</v>
      </c>
      <c r="F90" s="133">
        <f t="shared" si="8"/>
        <v>492.5</v>
      </c>
      <c r="G90" s="135">
        <f t="shared" si="9"/>
        <v>10386.6</v>
      </c>
    </row>
    <row r="91" ht="14.25" customHeight="1">
      <c r="A91" s="131">
        <v>34.0</v>
      </c>
      <c r="B91" s="132">
        <v>47116.0</v>
      </c>
      <c r="C91" s="146"/>
      <c r="D91" s="135">
        <f t="shared" si="6"/>
        <v>103.9</v>
      </c>
      <c r="E91" s="135">
        <f t="shared" si="7"/>
        <v>384.8</v>
      </c>
      <c r="F91" s="133">
        <f t="shared" si="8"/>
        <v>488.7</v>
      </c>
      <c r="G91" s="135">
        <f t="shared" si="9"/>
        <v>10001.8</v>
      </c>
    </row>
    <row r="92" ht="14.25" customHeight="1">
      <c r="A92" s="131">
        <v>35.0</v>
      </c>
      <c r="B92" s="132">
        <v>47147.0</v>
      </c>
      <c r="C92" s="146"/>
      <c r="D92" s="135">
        <f t="shared" si="6"/>
        <v>100</v>
      </c>
      <c r="E92" s="135">
        <f t="shared" si="7"/>
        <v>384.8</v>
      </c>
      <c r="F92" s="133">
        <f t="shared" si="8"/>
        <v>484.8</v>
      </c>
      <c r="G92" s="135">
        <f t="shared" si="9"/>
        <v>9617</v>
      </c>
    </row>
    <row r="93" ht="14.25" customHeight="1">
      <c r="A93" s="131">
        <v>36.0</v>
      </c>
      <c r="B93" s="132">
        <v>47177.0</v>
      </c>
      <c r="C93" s="146"/>
      <c r="D93" s="135">
        <f t="shared" si="6"/>
        <v>96.2</v>
      </c>
      <c r="E93" s="135">
        <f t="shared" si="7"/>
        <v>384.8</v>
      </c>
      <c r="F93" s="133">
        <f t="shared" si="8"/>
        <v>481</v>
      </c>
      <c r="G93" s="135">
        <f t="shared" si="9"/>
        <v>9232.2</v>
      </c>
    </row>
    <row r="94" ht="14.25" customHeight="1">
      <c r="A94" s="131">
        <v>37.0</v>
      </c>
      <c r="B94" s="132">
        <v>47206.0</v>
      </c>
      <c r="C94" s="146"/>
      <c r="D94" s="135">
        <f t="shared" si="6"/>
        <v>92.3</v>
      </c>
      <c r="E94" s="135">
        <f t="shared" si="7"/>
        <v>384.8</v>
      </c>
      <c r="F94" s="133">
        <f t="shared" si="8"/>
        <v>477.1</v>
      </c>
      <c r="G94" s="135">
        <f t="shared" si="9"/>
        <v>8847.4</v>
      </c>
    </row>
    <row r="95" ht="14.25" customHeight="1">
      <c r="A95" s="131">
        <v>38.0</v>
      </c>
      <c r="B95" s="132">
        <v>47237.0</v>
      </c>
      <c r="C95" s="146"/>
      <c r="D95" s="135">
        <f t="shared" si="6"/>
        <v>88.5</v>
      </c>
      <c r="E95" s="135">
        <f t="shared" si="7"/>
        <v>384.8</v>
      </c>
      <c r="F95" s="133">
        <f t="shared" si="8"/>
        <v>473.3</v>
      </c>
      <c r="G95" s="135">
        <f t="shared" si="9"/>
        <v>8462.6</v>
      </c>
    </row>
    <row r="96" ht="14.25" customHeight="1">
      <c r="A96" s="131">
        <v>39.0</v>
      </c>
      <c r="B96" s="132">
        <v>47267.0</v>
      </c>
      <c r="C96" s="146"/>
      <c r="D96" s="135">
        <f t="shared" si="6"/>
        <v>84.6</v>
      </c>
      <c r="E96" s="135">
        <f t="shared" si="7"/>
        <v>384.8</v>
      </c>
      <c r="F96" s="133">
        <f t="shared" si="8"/>
        <v>469.4</v>
      </c>
      <c r="G96" s="135">
        <f t="shared" si="9"/>
        <v>8077.8</v>
      </c>
    </row>
    <row r="97" ht="14.25" customHeight="1">
      <c r="A97" s="131">
        <v>40.0</v>
      </c>
      <c r="B97" s="132">
        <v>47298.0</v>
      </c>
      <c r="C97" s="146"/>
      <c r="D97" s="135">
        <f t="shared" si="6"/>
        <v>80.8</v>
      </c>
      <c r="E97" s="135">
        <f t="shared" si="7"/>
        <v>384.8</v>
      </c>
      <c r="F97" s="133">
        <f t="shared" si="8"/>
        <v>465.6</v>
      </c>
      <c r="G97" s="135">
        <f t="shared" si="9"/>
        <v>7693</v>
      </c>
    </row>
    <row r="98" ht="14.25" customHeight="1">
      <c r="A98" s="131">
        <v>41.0</v>
      </c>
      <c r="B98" s="132">
        <v>47328.0</v>
      </c>
      <c r="C98" s="146"/>
      <c r="D98" s="135">
        <f t="shared" si="6"/>
        <v>76.9</v>
      </c>
      <c r="E98" s="135">
        <f t="shared" si="7"/>
        <v>384.8</v>
      </c>
      <c r="F98" s="133">
        <f t="shared" si="8"/>
        <v>461.7</v>
      </c>
      <c r="G98" s="135">
        <f t="shared" si="9"/>
        <v>7308.2</v>
      </c>
    </row>
    <row r="99" ht="14.25" customHeight="1">
      <c r="A99" s="131">
        <v>42.0</v>
      </c>
      <c r="B99" s="132">
        <v>47359.0</v>
      </c>
      <c r="C99" s="146"/>
      <c r="D99" s="135">
        <f t="shared" si="6"/>
        <v>73.1</v>
      </c>
      <c r="E99" s="135">
        <f t="shared" si="7"/>
        <v>384.8</v>
      </c>
      <c r="F99" s="133">
        <f t="shared" si="8"/>
        <v>457.9</v>
      </c>
      <c r="G99" s="135">
        <f t="shared" si="9"/>
        <v>6923.4</v>
      </c>
    </row>
    <row r="100" ht="14.25" customHeight="1">
      <c r="A100" s="131">
        <v>43.0</v>
      </c>
      <c r="B100" s="132">
        <v>47390.0</v>
      </c>
      <c r="C100" s="146"/>
      <c r="D100" s="135">
        <f t="shared" si="6"/>
        <v>69.2</v>
      </c>
      <c r="E100" s="135">
        <f t="shared" si="7"/>
        <v>384.8</v>
      </c>
      <c r="F100" s="133">
        <f t="shared" si="8"/>
        <v>454</v>
      </c>
      <c r="G100" s="135">
        <f t="shared" si="9"/>
        <v>6538.6</v>
      </c>
    </row>
    <row r="101" ht="14.25" customHeight="1">
      <c r="A101" s="131">
        <v>44.0</v>
      </c>
      <c r="B101" s="132">
        <v>47420.0</v>
      </c>
      <c r="C101" s="146"/>
      <c r="D101" s="135">
        <f t="shared" si="6"/>
        <v>65.4</v>
      </c>
      <c r="E101" s="135">
        <f t="shared" si="7"/>
        <v>384.8</v>
      </c>
      <c r="F101" s="133">
        <f t="shared" si="8"/>
        <v>450.2</v>
      </c>
      <c r="G101" s="135">
        <f t="shared" si="9"/>
        <v>6153.8</v>
      </c>
    </row>
    <row r="102" ht="14.25" customHeight="1">
      <c r="A102" s="131">
        <v>45.0</v>
      </c>
      <c r="B102" s="132">
        <v>47451.0</v>
      </c>
      <c r="C102" s="146"/>
      <c r="D102" s="135">
        <f t="shared" si="6"/>
        <v>61.5</v>
      </c>
      <c r="E102" s="135">
        <f t="shared" si="7"/>
        <v>384.8</v>
      </c>
      <c r="F102" s="133">
        <f t="shared" si="8"/>
        <v>446.3</v>
      </c>
      <c r="G102" s="135">
        <f t="shared" si="9"/>
        <v>5769</v>
      </c>
    </row>
    <row r="103" ht="14.25" customHeight="1">
      <c r="A103" s="131">
        <v>46.0</v>
      </c>
      <c r="B103" s="132">
        <v>47481.0</v>
      </c>
      <c r="C103" s="146"/>
      <c r="D103" s="135">
        <f t="shared" si="6"/>
        <v>57.7</v>
      </c>
      <c r="E103" s="135">
        <f t="shared" si="7"/>
        <v>384.8</v>
      </c>
      <c r="F103" s="133">
        <f t="shared" si="8"/>
        <v>442.5</v>
      </c>
      <c r="G103" s="135">
        <f t="shared" si="9"/>
        <v>5384.2</v>
      </c>
    </row>
    <row r="104" ht="14.25" customHeight="1">
      <c r="A104" s="131">
        <v>47.0</v>
      </c>
      <c r="B104" s="132">
        <v>47512.0</v>
      </c>
      <c r="C104" s="146"/>
      <c r="D104" s="135">
        <f t="shared" si="6"/>
        <v>53.8</v>
      </c>
      <c r="E104" s="135">
        <f t="shared" si="7"/>
        <v>384.8</v>
      </c>
      <c r="F104" s="133">
        <f t="shared" si="8"/>
        <v>438.6</v>
      </c>
      <c r="G104" s="135">
        <f t="shared" si="9"/>
        <v>4999.4</v>
      </c>
    </row>
    <row r="105" ht="14.25" customHeight="1">
      <c r="A105" s="131">
        <v>48.0</v>
      </c>
      <c r="B105" s="132">
        <v>47542.0</v>
      </c>
      <c r="C105" s="146"/>
      <c r="D105" s="135">
        <f t="shared" si="6"/>
        <v>50</v>
      </c>
      <c r="E105" s="135">
        <f t="shared" si="7"/>
        <v>384.8</v>
      </c>
      <c r="F105" s="133">
        <f t="shared" si="8"/>
        <v>434.8</v>
      </c>
      <c r="G105" s="135">
        <f t="shared" si="9"/>
        <v>4614.6</v>
      </c>
    </row>
    <row r="106" ht="14.25" customHeight="1">
      <c r="A106" s="131">
        <v>49.0</v>
      </c>
      <c r="B106" s="132">
        <v>47571.0</v>
      </c>
      <c r="C106" s="146"/>
      <c r="D106" s="135">
        <f t="shared" si="6"/>
        <v>46.1</v>
      </c>
      <c r="E106" s="135">
        <f t="shared" si="7"/>
        <v>384.8</v>
      </c>
      <c r="F106" s="133">
        <f t="shared" si="8"/>
        <v>430.9</v>
      </c>
      <c r="G106" s="135">
        <f t="shared" si="9"/>
        <v>4229.8</v>
      </c>
    </row>
    <row r="107" ht="14.25" customHeight="1">
      <c r="A107" s="131">
        <v>50.0</v>
      </c>
      <c r="B107" s="132">
        <v>47602.0</v>
      </c>
      <c r="C107" s="146"/>
      <c r="D107" s="135">
        <f t="shared" si="6"/>
        <v>42.3</v>
      </c>
      <c r="E107" s="135">
        <f t="shared" si="7"/>
        <v>384.8</v>
      </c>
      <c r="F107" s="133">
        <f t="shared" si="8"/>
        <v>427.1</v>
      </c>
      <c r="G107" s="135">
        <f t="shared" si="9"/>
        <v>3845</v>
      </c>
    </row>
    <row r="108" ht="14.25" customHeight="1">
      <c r="A108" s="131">
        <v>51.0</v>
      </c>
      <c r="B108" s="132">
        <v>47632.0</v>
      </c>
      <c r="C108" s="146"/>
      <c r="D108" s="135">
        <f t="shared" si="6"/>
        <v>38.5</v>
      </c>
      <c r="E108" s="135">
        <f t="shared" si="7"/>
        <v>384.8</v>
      </c>
      <c r="F108" s="133">
        <f t="shared" si="8"/>
        <v>423.3</v>
      </c>
      <c r="G108" s="135">
        <f t="shared" si="9"/>
        <v>3460.2</v>
      </c>
    </row>
    <row r="109" ht="14.25" customHeight="1">
      <c r="A109" s="131">
        <v>52.0</v>
      </c>
      <c r="B109" s="132">
        <v>47663.0</v>
      </c>
      <c r="C109" s="146"/>
      <c r="D109" s="135">
        <f t="shared" si="6"/>
        <v>34.6</v>
      </c>
      <c r="E109" s="135">
        <f t="shared" si="7"/>
        <v>384.8</v>
      </c>
      <c r="F109" s="133">
        <f t="shared" si="8"/>
        <v>419.4</v>
      </c>
      <c r="G109" s="135">
        <f t="shared" si="9"/>
        <v>3075.4</v>
      </c>
    </row>
    <row r="110" ht="14.25" customHeight="1">
      <c r="A110" s="131">
        <v>53.0</v>
      </c>
      <c r="B110" s="132">
        <v>47693.0</v>
      </c>
      <c r="C110" s="146"/>
      <c r="D110" s="135">
        <f t="shared" si="6"/>
        <v>30.8</v>
      </c>
      <c r="E110" s="135">
        <f t="shared" si="7"/>
        <v>384.8</v>
      </c>
      <c r="F110" s="133">
        <f t="shared" si="8"/>
        <v>415.6</v>
      </c>
      <c r="G110" s="135">
        <f t="shared" si="9"/>
        <v>2690.6</v>
      </c>
    </row>
    <row r="111" ht="14.25" customHeight="1">
      <c r="A111" s="131">
        <v>54.0</v>
      </c>
      <c r="B111" s="132">
        <v>47724.0</v>
      </c>
      <c r="C111" s="146"/>
      <c r="D111" s="135">
        <f t="shared" si="6"/>
        <v>26.9</v>
      </c>
      <c r="E111" s="135">
        <f t="shared" si="7"/>
        <v>384.8</v>
      </c>
      <c r="F111" s="133">
        <f t="shared" si="8"/>
        <v>411.7</v>
      </c>
      <c r="G111" s="135">
        <f t="shared" si="9"/>
        <v>2305.8</v>
      </c>
    </row>
    <row r="112" ht="14.25" customHeight="1">
      <c r="A112" s="131">
        <v>55.0</v>
      </c>
      <c r="B112" s="132">
        <v>47755.0</v>
      </c>
      <c r="C112" s="146"/>
      <c r="D112" s="135">
        <f t="shared" si="6"/>
        <v>23.1</v>
      </c>
      <c r="E112" s="135">
        <f t="shared" si="7"/>
        <v>384.8</v>
      </c>
      <c r="F112" s="133">
        <f t="shared" si="8"/>
        <v>407.9</v>
      </c>
      <c r="G112" s="135">
        <f t="shared" si="9"/>
        <v>1921</v>
      </c>
    </row>
    <row r="113" ht="14.25" customHeight="1">
      <c r="A113" s="131">
        <v>56.0</v>
      </c>
      <c r="B113" s="132">
        <v>47785.0</v>
      </c>
      <c r="C113" s="146"/>
      <c r="D113" s="135">
        <f t="shared" si="6"/>
        <v>19.2</v>
      </c>
      <c r="E113" s="135">
        <f t="shared" si="7"/>
        <v>384.8</v>
      </c>
      <c r="F113" s="133">
        <f t="shared" si="8"/>
        <v>404</v>
      </c>
      <c r="G113" s="135">
        <f t="shared" si="9"/>
        <v>1536.2</v>
      </c>
    </row>
    <row r="114" ht="14.25" customHeight="1">
      <c r="A114" s="131">
        <v>57.0</v>
      </c>
      <c r="B114" s="132">
        <v>47816.0</v>
      </c>
      <c r="C114" s="146"/>
      <c r="D114" s="135">
        <f t="shared" si="6"/>
        <v>15.4</v>
      </c>
      <c r="E114" s="135">
        <f t="shared" si="7"/>
        <v>384.8</v>
      </c>
      <c r="F114" s="133">
        <f t="shared" si="8"/>
        <v>400.2</v>
      </c>
      <c r="G114" s="135">
        <f t="shared" si="9"/>
        <v>1151.4</v>
      </c>
    </row>
    <row r="115" ht="14.25" customHeight="1">
      <c r="A115" s="131">
        <v>58.0</v>
      </c>
      <c r="B115" s="132">
        <v>47846.0</v>
      </c>
      <c r="C115" s="146"/>
      <c r="D115" s="135">
        <f t="shared" si="6"/>
        <v>11.5</v>
      </c>
      <c r="E115" s="135">
        <f t="shared" si="7"/>
        <v>384.8</v>
      </c>
      <c r="F115" s="133">
        <f t="shared" si="8"/>
        <v>396.3</v>
      </c>
      <c r="G115" s="135">
        <f t="shared" si="9"/>
        <v>766.6</v>
      </c>
    </row>
    <row r="116" ht="14.25" customHeight="1">
      <c r="A116" s="131">
        <v>59.0</v>
      </c>
      <c r="B116" s="132">
        <v>47877.0</v>
      </c>
      <c r="C116" s="146"/>
      <c r="D116" s="135">
        <f t="shared" si="6"/>
        <v>7.7</v>
      </c>
      <c r="E116" s="135">
        <f t="shared" si="7"/>
        <v>384.8</v>
      </c>
      <c r="F116" s="133">
        <f t="shared" si="8"/>
        <v>392.5</v>
      </c>
      <c r="G116" s="135">
        <f t="shared" si="9"/>
        <v>381.8</v>
      </c>
    </row>
    <row r="117" ht="14.25" customHeight="1">
      <c r="A117" s="131">
        <v>60.0</v>
      </c>
      <c r="B117" s="132">
        <v>47907.0</v>
      </c>
      <c r="C117" s="146"/>
      <c r="D117" s="135">
        <f t="shared" si="6"/>
        <v>3.8</v>
      </c>
      <c r="E117" s="135">
        <f>ROUND($C$57/60,1)-3</f>
        <v>381.8</v>
      </c>
      <c r="F117" s="133">
        <f t="shared" si="8"/>
        <v>385.6</v>
      </c>
      <c r="G117" s="135">
        <f t="shared" si="9"/>
        <v>0</v>
      </c>
    </row>
    <row r="118" ht="14.25" customHeight="1">
      <c r="A118" s="129" t="s">
        <v>252</v>
      </c>
      <c r="B118" s="2"/>
      <c r="C118" s="3"/>
      <c r="D118" s="147">
        <f t="shared" ref="D118:F118" si="10">+SUM(D58:D117)</f>
        <v>7040.3</v>
      </c>
      <c r="E118" s="147">
        <f t="shared" si="10"/>
        <v>23085</v>
      </c>
      <c r="F118" s="147">
        <f t="shared" si="10"/>
        <v>30125.3</v>
      </c>
      <c r="G118" s="148"/>
    </row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53:C53"/>
    <mergeCell ref="A55:G55"/>
    <mergeCell ref="A118:C118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361</v>
      </c>
      <c r="B1" s="2"/>
      <c r="C1" s="2"/>
      <c r="D1" s="2"/>
      <c r="E1" s="2"/>
      <c r="F1" s="2"/>
      <c r="G1" s="3"/>
    </row>
    <row r="2" ht="14.25" customHeight="1">
      <c r="A2" s="129" t="s">
        <v>346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45837.0</v>
      </c>
      <c r="C4" s="133">
        <f>+J7</f>
        <v>30548</v>
      </c>
      <c r="D4" s="134">
        <v>0.01</v>
      </c>
      <c r="E4" s="135"/>
      <c r="F4" s="135"/>
      <c r="G4" s="135">
        <f>+C4</f>
        <v>30548</v>
      </c>
    </row>
    <row r="5" ht="14.25" customHeight="1">
      <c r="A5" s="136">
        <v>1.0</v>
      </c>
      <c r="B5" s="137">
        <v>45867.0</v>
      </c>
      <c r="C5" s="138"/>
      <c r="D5" s="138">
        <f t="shared" ref="D5:D88" si="1">+ROUND(G4*0.01,1)</f>
        <v>305.5</v>
      </c>
      <c r="E5" s="138">
        <f t="shared" ref="E5:E87" si="2">ROUNDUP($C$4/84,1)</f>
        <v>363.7</v>
      </c>
      <c r="F5" s="139">
        <f t="shared" ref="F5:F88" si="3">+ROUND(D5+E5,1)</f>
        <v>669.2</v>
      </c>
      <c r="G5" s="138">
        <f t="shared" ref="G5:G88" si="4">+ROUND(G4-E5,1)</f>
        <v>30184.3</v>
      </c>
      <c r="I5" s="140" t="s">
        <v>209</v>
      </c>
      <c r="J5" s="141">
        <v>25547.99999999998</v>
      </c>
    </row>
    <row r="6" ht="14.25" customHeight="1">
      <c r="A6" s="136">
        <v>2.0</v>
      </c>
      <c r="B6" s="137">
        <v>45898.0</v>
      </c>
      <c r="C6" s="144"/>
      <c r="D6" s="138">
        <f t="shared" si="1"/>
        <v>301.8</v>
      </c>
      <c r="E6" s="138">
        <f t="shared" si="2"/>
        <v>363.7</v>
      </c>
      <c r="F6" s="139">
        <f t="shared" si="3"/>
        <v>665.5</v>
      </c>
      <c r="G6" s="138">
        <f t="shared" si="4"/>
        <v>29820.6</v>
      </c>
      <c r="I6" s="140" t="s">
        <v>331</v>
      </c>
      <c r="J6" s="141">
        <v>5000.0</v>
      </c>
    </row>
    <row r="7" ht="14.25" customHeight="1">
      <c r="A7" s="136">
        <v>3.0</v>
      </c>
      <c r="B7" s="137">
        <v>45929.0</v>
      </c>
      <c r="C7" s="144"/>
      <c r="D7" s="138">
        <f t="shared" si="1"/>
        <v>298.2</v>
      </c>
      <c r="E7" s="138">
        <f t="shared" si="2"/>
        <v>363.7</v>
      </c>
      <c r="F7" s="139">
        <f t="shared" si="3"/>
        <v>661.9</v>
      </c>
      <c r="G7" s="138">
        <f t="shared" si="4"/>
        <v>29456.9</v>
      </c>
      <c r="I7" s="142" t="s">
        <v>252</v>
      </c>
      <c r="J7" s="143">
        <f>+SUM(J5:J6)</f>
        <v>30548</v>
      </c>
    </row>
    <row r="8" ht="14.25" customHeight="1">
      <c r="A8" s="136">
        <v>4.0</v>
      </c>
      <c r="B8" s="137">
        <v>45959.0</v>
      </c>
      <c r="C8" s="145"/>
      <c r="D8" s="138">
        <f t="shared" si="1"/>
        <v>294.6</v>
      </c>
      <c r="E8" s="138">
        <f t="shared" si="2"/>
        <v>363.7</v>
      </c>
      <c r="F8" s="139">
        <f t="shared" si="3"/>
        <v>658.3</v>
      </c>
      <c r="G8" s="138">
        <f t="shared" si="4"/>
        <v>29093.2</v>
      </c>
    </row>
    <row r="9" ht="14.25" customHeight="1">
      <c r="A9" s="136">
        <v>5.0</v>
      </c>
      <c r="B9" s="137">
        <v>45990.0</v>
      </c>
      <c r="C9" s="145"/>
      <c r="D9" s="138">
        <f t="shared" si="1"/>
        <v>290.9</v>
      </c>
      <c r="E9" s="138">
        <f t="shared" si="2"/>
        <v>363.7</v>
      </c>
      <c r="F9" s="139">
        <f t="shared" si="3"/>
        <v>654.6</v>
      </c>
      <c r="G9" s="138">
        <f t="shared" si="4"/>
        <v>28729.5</v>
      </c>
    </row>
    <row r="10" ht="14.25" customHeight="1">
      <c r="A10" s="136">
        <v>6.0</v>
      </c>
      <c r="B10" s="137">
        <v>46020.0</v>
      </c>
      <c r="C10" s="145"/>
      <c r="D10" s="138">
        <f t="shared" si="1"/>
        <v>287.3</v>
      </c>
      <c r="E10" s="138">
        <f t="shared" si="2"/>
        <v>363.7</v>
      </c>
      <c r="F10" s="139">
        <f t="shared" si="3"/>
        <v>651</v>
      </c>
      <c r="G10" s="138">
        <f t="shared" si="4"/>
        <v>28365.8</v>
      </c>
      <c r="I10" s="152" t="s">
        <v>328</v>
      </c>
      <c r="J10" s="153">
        <f>SUM(D5:D11)</f>
        <v>2062</v>
      </c>
    </row>
    <row r="11" ht="14.25" customHeight="1">
      <c r="A11" s="154">
        <v>7.0</v>
      </c>
      <c r="B11" s="155">
        <v>46051.0</v>
      </c>
      <c r="C11" s="156"/>
      <c r="D11" s="157">
        <f t="shared" si="1"/>
        <v>283.7</v>
      </c>
      <c r="E11" s="157">
        <f t="shared" si="2"/>
        <v>363.7</v>
      </c>
      <c r="F11" s="157">
        <f t="shared" si="3"/>
        <v>647.4</v>
      </c>
      <c r="G11" s="157">
        <f t="shared" si="4"/>
        <v>28002.1</v>
      </c>
      <c r="I11" s="152" t="s">
        <v>209</v>
      </c>
      <c r="J11" s="153">
        <f>G11</f>
        <v>28002.1</v>
      </c>
    </row>
    <row r="12" ht="14.25" hidden="1" customHeight="1">
      <c r="A12" s="131">
        <v>8.0</v>
      </c>
      <c r="B12" s="132">
        <v>46081.0</v>
      </c>
      <c r="C12" s="146"/>
      <c r="D12" s="135">
        <f t="shared" si="1"/>
        <v>280</v>
      </c>
      <c r="E12" s="135">
        <f t="shared" si="2"/>
        <v>363.7</v>
      </c>
      <c r="F12" s="133">
        <f t="shared" si="3"/>
        <v>643.7</v>
      </c>
      <c r="G12" s="135">
        <f t="shared" si="4"/>
        <v>27638.4</v>
      </c>
    </row>
    <row r="13" ht="14.25" hidden="1" customHeight="1">
      <c r="A13" s="131">
        <v>9.0</v>
      </c>
      <c r="B13" s="132">
        <v>46110.0</v>
      </c>
      <c r="C13" s="146"/>
      <c r="D13" s="135">
        <f t="shared" si="1"/>
        <v>276.4</v>
      </c>
      <c r="E13" s="135">
        <f t="shared" si="2"/>
        <v>363.7</v>
      </c>
      <c r="F13" s="133">
        <f t="shared" si="3"/>
        <v>640.1</v>
      </c>
      <c r="G13" s="135">
        <f t="shared" si="4"/>
        <v>27274.7</v>
      </c>
    </row>
    <row r="14" ht="14.25" hidden="1" customHeight="1">
      <c r="A14" s="131">
        <v>10.0</v>
      </c>
      <c r="B14" s="132">
        <v>46141.0</v>
      </c>
      <c r="C14" s="146"/>
      <c r="D14" s="135">
        <f t="shared" si="1"/>
        <v>272.7</v>
      </c>
      <c r="E14" s="135">
        <f t="shared" si="2"/>
        <v>363.7</v>
      </c>
      <c r="F14" s="133">
        <f t="shared" si="3"/>
        <v>636.4</v>
      </c>
      <c r="G14" s="135">
        <f t="shared" si="4"/>
        <v>26911</v>
      </c>
    </row>
    <row r="15" ht="14.25" hidden="1" customHeight="1">
      <c r="A15" s="131">
        <v>11.0</v>
      </c>
      <c r="B15" s="132">
        <v>46171.0</v>
      </c>
      <c r="C15" s="146"/>
      <c r="D15" s="135">
        <f t="shared" si="1"/>
        <v>269.1</v>
      </c>
      <c r="E15" s="135">
        <f t="shared" si="2"/>
        <v>363.7</v>
      </c>
      <c r="F15" s="133">
        <f t="shared" si="3"/>
        <v>632.8</v>
      </c>
      <c r="G15" s="135">
        <f t="shared" si="4"/>
        <v>26547.3</v>
      </c>
    </row>
    <row r="16" ht="14.25" hidden="1" customHeight="1">
      <c r="A16" s="131">
        <v>12.0</v>
      </c>
      <c r="B16" s="132">
        <v>46202.0</v>
      </c>
      <c r="C16" s="146"/>
      <c r="D16" s="135">
        <f t="shared" si="1"/>
        <v>265.5</v>
      </c>
      <c r="E16" s="135">
        <f t="shared" si="2"/>
        <v>363.7</v>
      </c>
      <c r="F16" s="133">
        <f t="shared" si="3"/>
        <v>629.2</v>
      </c>
      <c r="G16" s="135">
        <f t="shared" si="4"/>
        <v>26183.6</v>
      </c>
    </row>
    <row r="17" ht="14.25" hidden="1" customHeight="1">
      <c r="A17" s="131">
        <v>13.0</v>
      </c>
      <c r="B17" s="132">
        <v>46232.0</v>
      </c>
      <c r="C17" s="146"/>
      <c r="D17" s="135">
        <f t="shared" si="1"/>
        <v>261.8</v>
      </c>
      <c r="E17" s="135">
        <f t="shared" si="2"/>
        <v>363.7</v>
      </c>
      <c r="F17" s="133">
        <f t="shared" si="3"/>
        <v>625.5</v>
      </c>
      <c r="G17" s="135">
        <f t="shared" si="4"/>
        <v>25819.9</v>
      </c>
    </row>
    <row r="18" ht="14.25" hidden="1" customHeight="1">
      <c r="A18" s="131">
        <v>14.0</v>
      </c>
      <c r="B18" s="132">
        <v>46263.0</v>
      </c>
      <c r="C18" s="146"/>
      <c r="D18" s="135">
        <f t="shared" si="1"/>
        <v>258.2</v>
      </c>
      <c r="E18" s="135">
        <f t="shared" si="2"/>
        <v>363.7</v>
      </c>
      <c r="F18" s="133">
        <f t="shared" si="3"/>
        <v>621.9</v>
      </c>
      <c r="G18" s="135">
        <f t="shared" si="4"/>
        <v>25456.2</v>
      </c>
    </row>
    <row r="19" ht="14.25" hidden="1" customHeight="1">
      <c r="A19" s="131">
        <v>15.0</v>
      </c>
      <c r="B19" s="132">
        <v>46294.0</v>
      </c>
      <c r="C19" s="146"/>
      <c r="D19" s="135">
        <f t="shared" si="1"/>
        <v>254.6</v>
      </c>
      <c r="E19" s="135">
        <f t="shared" si="2"/>
        <v>363.7</v>
      </c>
      <c r="F19" s="133">
        <f t="shared" si="3"/>
        <v>618.3</v>
      </c>
      <c r="G19" s="135">
        <f t="shared" si="4"/>
        <v>25092.5</v>
      </c>
    </row>
    <row r="20" ht="14.25" hidden="1" customHeight="1">
      <c r="A20" s="131">
        <v>16.0</v>
      </c>
      <c r="B20" s="132">
        <v>46324.0</v>
      </c>
      <c r="C20" s="146"/>
      <c r="D20" s="135">
        <f t="shared" si="1"/>
        <v>250.9</v>
      </c>
      <c r="E20" s="135">
        <f t="shared" si="2"/>
        <v>363.7</v>
      </c>
      <c r="F20" s="133">
        <f t="shared" si="3"/>
        <v>614.6</v>
      </c>
      <c r="G20" s="135">
        <f t="shared" si="4"/>
        <v>24728.8</v>
      </c>
    </row>
    <row r="21" ht="14.25" hidden="1" customHeight="1">
      <c r="A21" s="131">
        <v>17.0</v>
      </c>
      <c r="B21" s="132">
        <v>46355.0</v>
      </c>
      <c r="C21" s="146"/>
      <c r="D21" s="135">
        <f t="shared" si="1"/>
        <v>247.3</v>
      </c>
      <c r="E21" s="135">
        <f t="shared" si="2"/>
        <v>363.7</v>
      </c>
      <c r="F21" s="133">
        <f t="shared" si="3"/>
        <v>611</v>
      </c>
      <c r="G21" s="135">
        <f t="shared" si="4"/>
        <v>24365.1</v>
      </c>
    </row>
    <row r="22" ht="14.25" hidden="1" customHeight="1">
      <c r="A22" s="131">
        <v>18.0</v>
      </c>
      <c r="B22" s="132">
        <v>46385.0</v>
      </c>
      <c r="C22" s="146"/>
      <c r="D22" s="135">
        <f t="shared" si="1"/>
        <v>243.7</v>
      </c>
      <c r="E22" s="135">
        <f t="shared" si="2"/>
        <v>363.7</v>
      </c>
      <c r="F22" s="133">
        <f t="shared" si="3"/>
        <v>607.4</v>
      </c>
      <c r="G22" s="135">
        <f t="shared" si="4"/>
        <v>24001.4</v>
      </c>
    </row>
    <row r="23" ht="14.25" hidden="1" customHeight="1">
      <c r="A23" s="131">
        <v>19.0</v>
      </c>
      <c r="B23" s="132">
        <v>46416.0</v>
      </c>
      <c r="C23" s="146"/>
      <c r="D23" s="135">
        <f t="shared" si="1"/>
        <v>240</v>
      </c>
      <c r="E23" s="135">
        <f t="shared" si="2"/>
        <v>363.7</v>
      </c>
      <c r="F23" s="133">
        <f t="shared" si="3"/>
        <v>603.7</v>
      </c>
      <c r="G23" s="135">
        <f t="shared" si="4"/>
        <v>23637.7</v>
      </c>
    </row>
    <row r="24" ht="14.25" hidden="1" customHeight="1">
      <c r="A24" s="131">
        <v>20.0</v>
      </c>
      <c r="B24" s="132">
        <v>46446.0</v>
      </c>
      <c r="C24" s="146"/>
      <c r="D24" s="135">
        <f t="shared" si="1"/>
        <v>236.4</v>
      </c>
      <c r="E24" s="135">
        <f t="shared" si="2"/>
        <v>363.7</v>
      </c>
      <c r="F24" s="133">
        <f t="shared" si="3"/>
        <v>600.1</v>
      </c>
      <c r="G24" s="135">
        <f t="shared" si="4"/>
        <v>23274</v>
      </c>
    </row>
    <row r="25" ht="14.25" hidden="1" customHeight="1">
      <c r="A25" s="131">
        <v>21.0</v>
      </c>
      <c r="B25" s="132">
        <v>46475.0</v>
      </c>
      <c r="C25" s="146"/>
      <c r="D25" s="135">
        <f t="shared" si="1"/>
        <v>232.7</v>
      </c>
      <c r="E25" s="135">
        <f t="shared" si="2"/>
        <v>363.7</v>
      </c>
      <c r="F25" s="133">
        <f t="shared" si="3"/>
        <v>596.4</v>
      </c>
      <c r="G25" s="135">
        <f t="shared" si="4"/>
        <v>22910.3</v>
      </c>
    </row>
    <row r="26" ht="14.25" hidden="1" customHeight="1">
      <c r="A26" s="131">
        <v>22.0</v>
      </c>
      <c r="B26" s="132">
        <v>46506.0</v>
      </c>
      <c r="C26" s="146"/>
      <c r="D26" s="135">
        <f t="shared" si="1"/>
        <v>229.1</v>
      </c>
      <c r="E26" s="135">
        <f t="shared" si="2"/>
        <v>363.7</v>
      </c>
      <c r="F26" s="133">
        <f t="shared" si="3"/>
        <v>592.8</v>
      </c>
      <c r="G26" s="135">
        <f t="shared" si="4"/>
        <v>22546.6</v>
      </c>
    </row>
    <row r="27" ht="14.25" hidden="1" customHeight="1">
      <c r="A27" s="131">
        <v>23.0</v>
      </c>
      <c r="B27" s="132">
        <v>46536.0</v>
      </c>
      <c r="C27" s="146"/>
      <c r="D27" s="135">
        <f t="shared" si="1"/>
        <v>225.5</v>
      </c>
      <c r="E27" s="135">
        <f t="shared" si="2"/>
        <v>363.7</v>
      </c>
      <c r="F27" s="133">
        <f t="shared" si="3"/>
        <v>589.2</v>
      </c>
      <c r="G27" s="135">
        <f t="shared" si="4"/>
        <v>22182.9</v>
      </c>
    </row>
    <row r="28" ht="14.25" hidden="1" customHeight="1">
      <c r="A28" s="131">
        <v>24.0</v>
      </c>
      <c r="B28" s="132">
        <v>46567.0</v>
      </c>
      <c r="C28" s="146"/>
      <c r="D28" s="135">
        <f t="shared" si="1"/>
        <v>221.8</v>
      </c>
      <c r="E28" s="135">
        <f t="shared" si="2"/>
        <v>363.7</v>
      </c>
      <c r="F28" s="133">
        <f t="shared" si="3"/>
        <v>585.5</v>
      </c>
      <c r="G28" s="135">
        <f t="shared" si="4"/>
        <v>21819.2</v>
      </c>
    </row>
    <row r="29" ht="14.25" hidden="1" customHeight="1">
      <c r="A29" s="131">
        <v>25.0</v>
      </c>
      <c r="B29" s="132">
        <v>46597.0</v>
      </c>
      <c r="C29" s="146"/>
      <c r="D29" s="135">
        <f t="shared" si="1"/>
        <v>218.2</v>
      </c>
      <c r="E29" s="135">
        <f t="shared" si="2"/>
        <v>363.7</v>
      </c>
      <c r="F29" s="133">
        <f t="shared" si="3"/>
        <v>581.9</v>
      </c>
      <c r="G29" s="135">
        <f t="shared" si="4"/>
        <v>21455.5</v>
      </c>
    </row>
    <row r="30" ht="14.25" hidden="1" customHeight="1">
      <c r="A30" s="131">
        <v>26.0</v>
      </c>
      <c r="B30" s="132">
        <v>46628.0</v>
      </c>
      <c r="C30" s="146"/>
      <c r="D30" s="135">
        <f t="shared" si="1"/>
        <v>214.6</v>
      </c>
      <c r="E30" s="135">
        <f t="shared" si="2"/>
        <v>363.7</v>
      </c>
      <c r="F30" s="133">
        <f t="shared" si="3"/>
        <v>578.3</v>
      </c>
      <c r="G30" s="135">
        <f t="shared" si="4"/>
        <v>21091.8</v>
      </c>
    </row>
    <row r="31" ht="14.25" hidden="1" customHeight="1">
      <c r="A31" s="131">
        <v>27.0</v>
      </c>
      <c r="B31" s="132">
        <v>46659.0</v>
      </c>
      <c r="C31" s="146"/>
      <c r="D31" s="135">
        <f t="shared" si="1"/>
        <v>210.9</v>
      </c>
      <c r="E31" s="135">
        <f t="shared" si="2"/>
        <v>363.7</v>
      </c>
      <c r="F31" s="133">
        <f t="shared" si="3"/>
        <v>574.6</v>
      </c>
      <c r="G31" s="135">
        <f t="shared" si="4"/>
        <v>20728.1</v>
      </c>
    </row>
    <row r="32" ht="14.25" hidden="1" customHeight="1">
      <c r="A32" s="131">
        <v>28.0</v>
      </c>
      <c r="B32" s="132">
        <v>46689.0</v>
      </c>
      <c r="C32" s="146"/>
      <c r="D32" s="135">
        <f t="shared" si="1"/>
        <v>207.3</v>
      </c>
      <c r="E32" s="135">
        <f t="shared" si="2"/>
        <v>363.7</v>
      </c>
      <c r="F32" s="133">
        <f t="shared" si="3"/>
        <v>571</v>
      </c>
      <c r="G32" s="135">
        <f t="shared" si="4"/>
        <v>20364.4</v>
      </c>
    </row>
    <row r="33" ht="14.25" hidden="1" customHeight="1">
      <c r="A33" s="131">
        <v>29.0</v>
      </c>
      <c r="B33" s="132">
        <v>46720.0</v>
      </c>
      <c r="C33" s="146"/>
      <c r="D33" s="135">
        <f t="shared" si="1"/>
        <v>203.6</v>
      </c>
      <c r="E33" s="135">
        <f t="shared" si="2"/>
        <v>363.7</v>
      </c>
      <c r="F33" s="133">
        <f t="shared" si="3"/>
        <v>567.3</v>
      </c>
      <c r="G33" s="135">
        <f t="shared" si="4"/>
        <v>20000.7</v>
      </c>
    </row>
    <row r="34" ht="14.25" hidden="1" customHeight="1">
      <c r="A34" s="131">
        <v>30.0</v>
      </c>
      <c r="B34" s="132">
        <v>46750.0</v>
      </c>
      <c r="C34" s="146"/>
      <c r="D34" s="135">
        <f t="shared" si="1"/>
        <v>200</v>
      </c>
      <c r="E34" s="135">
        <f t="shared" si="2"/>
        <v>363.7</v>
      </c>
      <c r="F34" s="133">
        <f t="shared" si="3"/>
        <v>563.7</v>
      </c>
      <c r="G34" s="135">
        <f t="shared" si="4"/>
        <v>19637</v>
      </c>
    </row>
    <row r="35" ht="14.25" hidden="1" customHeight="1">
      <c r="A35" s="131">
        <v>31.0</v>
      </c>
      <c r="B35" s="132">
        <v>46781.0</v>
      </c>
      <c r="C35" s="146"/>
      <c r="D35" s="135">
        <f t="shared" si="1"/>
        <v>196.4</v>
      </c>
      <c r="E35" s="135">
        <f t="shared" si="2"/>
        <v>363.7</v>
      </c>
      <c r="F35" s="133">
        <f t="shared" si="3"/>
        <v>560.1</v>
      </c>
      <c r="G35" s="135">
        <f t="shared" si="4"/>
        <v>19273.3</v>
      </c>
    </row>
    <row r="36" ht="14.25" hidden="1" customHeight="1">
      <c r="A36" s="131">
        <v>32.0</v>
      </c>
      <c r="B36" s="132">
        <v>46812.0</v>
      </c>
      <c r="C36" s="146"/>
      <c r="D36" s="135">
        <f t="shared" si="1"/>
        <v>192.7</v>
      </c>
      <c r="E36" s="135">
        <f t="shared" si="2"/>
        <v>363.7</v>
      </c>
      <c r="F36" s="133">
        <f t="shared" si="3"/>
        <v>556.4</v>
      </c>
      <c r="G36" s="135">
        <f t="shared" si="4"/>
        <v>18909.6</v>
      </c>
    </row>
    <row r="37" ht="14.25" hidden="1" customHeight="1">
      <c r="A37" s="131">
        <v>33.0</v>
      </c>
      <c r="B37" s="132">
        <v>46841.0</v>
      </c>
      <c r="C37" s="146"/>
      <c r="D37" s="135">
        <f t="shared" si="1"/>
        <v>189.1</v>
      </c>
      <c r="E37" s="135">
        <f t="shared" si="2"/>
        <v>363.7</v>
      </c>
      <c r="F37" s="133">
        <f t="shared" si="3"/>
        <v>552.8</v>
      </c>
      <c r="G37" s="135">
        <f t="shared" si="4"/>
        <v>18545.9</v>
      </c>
    </row>
    <row r="38" ht="14.25" hidden="1" customHeight="1">
      <c r="A38" s="131">
        <v>34.0</v>
      </c>
      <c r="B38" s="132">
        <v>46872.0</v>
      </c>
      <c r="C38" s="146"/>
      <c r="D38" s="135">
        <f t="shared" si="1"/>
        <v>185.5</v>
      </c>
      <c r="E38" s="135">
        <f t="shared" si="2"/>
        <v>363.7</v>
      </c>
      <c r="F38" s="133">
        <f t="shared" si="3"/>
        <v>549.2</v>
      </c>
      <c r="G38" s="135">
        <f t="shared" si="4"/>
        <v>18182.2</v>
      </c>
    </row>
    <row r="39" ht="14.25" hidden="1" customHeight="1">
      <c r="A39" s="131">
        <v>35.0</v>
      </c>
      <c r="B39" s="132">
        <v>46902.0</v>
      </c>
      <c r="C39" s="146"/>
      <c r="D39" s="135">
        <f t="shared" si="1"/>
        <v>181.8</v>
      </c>
      <c r="E39" s="135">
        <f t="shared" si="2"/>
        <v>363.7</v>
      </c>
      <c r="F39" s="133">
        <f t="shared" si="3"/>
        <v>545.5</v>
      </c>
      <c r="G39" s="135">
        <f t="shared" si="4"/>
        <v>17818.5</v>
      </c>
    </row>
    <row r="40" ht="14.25" hidden="1" customHeight="1">
      <c r="A40" s="131">
        <v>36.0</v>
      </c>
      <c r="B40" s="132">
        <v>46933.0</v>
      </c>
      <c r="C40" s="146"/>
      <c r="D40" s="135">
        <f t="shared" si="1"/>
        <v>178.2</v>
      </c>
      <c r="E40" s="135">
        <f t="shared" si="2"/>
        <v>363.7</v>
      </c>
      <c r="F40" s="133">
        <f t="shared" si="3"/>
        <v>541.9</v>
      </c>
      <c r="G40" s="135">
        <f t="shared" si="4"/>
        <v>17454.8</v>
      </c>
    </row>
    <row r="41" ht="14.25" hidden="1" customHeight="1">
      <c r="A41" s="131">
        <v>37.0</v>
      </c>
      <c r="B41" s="132">
        <v>46963.0</v>
      </c>
      <c r="C41" s="146"/>
      <c r="D41" s="135">
        <f t="shared" si="1"/>
        <v>174.5</v>
      </c>
      <c r="E41" s="135">
        <f t="shared" si="2"/>
        <v>363.7</v>
      </c>
      <c r="F41" s="133">
        <f t="shared" si="3"/>
        <v>538.2</v>
      </c>
      <c r="G41" s="135">
        <f t="shared" si="4"/>
        <v>17091.1</v>
      </c>
    </row>
    <row r="42" ht="14.25" hidden="1" customHeight="1">
      <c r="A42" s="131">
        <v>38.0</v>
      </c>
      <c r="B42" s="132">
        <v>46994.0</v>
      </c>
      <c r="C42" s="146"/>
      <c r="D42" s="135">
        <f t="shared" si="1"/>
        <v>170.9</v>
      </c>
      <c r="E42" s="135">
        <f t="shared" si="2"/>
        <v>363.7</v>
      </c>
      <c r="F42" s="133">
        <f t="shared" si="3"/>
        <v>534.6</v>
      </c>
      <c r="G42" s="135">
        <f t="shared" si="4"/>
        <v>16727.4</v>
      </c>
    </row>
    <row r="43" ht="14.25" hidden="1" customHeight="1">
      <c r="A43" s="131">
        <v>39.0</v>
      </c>
      <c r="B43" s="132">
        <v>47025.0</v>
      </c>
      <c r="C43" s="146"/>
      <c r="D43" s="135">
        <f t="shared" si="1"/>
        <v>167.3</v>
      </c>
      <c r="E43" s="135">
        <f t="shared" si="2"/>
        <v>363.7</v>
      </c>
      <c r="F43" s="133">
        <f t="shared" si="3"/>
        <v>531</v>
      </c>
      <c r="G43" s="135">
        <f t="shared" si="4"/>
        <v>16363.7</v>
      </c>
    </row>
    <row r="44" ht="14.25" hidden="1" customHeight="1">
      <c r="A44" s="131">
        <v>40.0</v>
      </c>
      <c r="B44" s="132">
        <v>47055.0</v>
      </c>
      <c r="C44" s="146"/>
      <c r="D44" s="135">
        <f t="shared" si="1"/>
        <v>163.6</v>
      </c>
      <c r="E44" s="135">
        <f t="shared" si="2"/>
        <v>363.7</v>
      </c>
      <c r="F44" s="133">
        <f t="shared" si="3"/>
        <v>527.3</v>
      </c>
      <c r="G44" s="135">
        <f t="shared" si="4"/>
        <v>16000</v>
      </c>
    </row>
    <row r="45" ht="14.25" hidden="1" customHeight="1">
      <c r="A45" s="131">
        <v>41.0</v>
      </c>
      <c r="B45" s="132">
        <v>47086.0</v>
      </c>
      <c r="C45" s="146"/>
      <c r="D45" s="135">
        <f t="shared" si="1"/>
        <v>160</v>
      </c>
      <c r="E45" s="135">
        <f t="shared" si="2"/>
        <v>363.7</v>
      </c>
      <c r="F45" s="133">
        <f t="shared" si="3"/>
        <v>523.7</v>
      </c>
      <c r="G45" s="135">
        <f t="shared" si="4"/>
        <v>15636.3</v>
      </c>
    </row>
    <row r="46" ht="14.25" hidden="1" customHeight="1">
      <c r="A46" s="131">
        <v>42.0</v>
      </c>
      <c r="B46" s="132">
        <v>47116.0</v>
      </c>
      <c r="C46" s="146"/>
      <c r="D46" s="135">
        <f t="shared" si="1"/>
        <v>156.4</v>
      </c>
      <c r="E46" s="135">
        <f t="shared" si="2"/>
        <v>363.7</v>
      </c>
      <c r="F46" s="133">
        <f t="shared" si="3"/>
        <v>520.1</v>
      </c>
      <c r="G46" s="135">
        <f t="shared" si="4"/>
        <v>15272.6</v>
      </c>
    </row>
    <row r="47" ht="14.25" hidden="1" customHeight="1">
      <c r="A47" s="131">
        <v>43.0</v>
      </c>
      <c r="B47" s="132">
        <v>47147.0</v>
      </c>
      <c r="C47" s="146"/>
      <c r="D47" s="135">
        <f t="shared" si="1"/>
        <v>152.7</v>
      </c>
      <c r="E47" s="135">
        <f t="shared" si="2"/>
        <v>363.7</v>
      </c>
      <c r="F47" s="133">
        <f t="shared" si="3"/>
        <v>516.4</v>
      </c>
      <c r="G47" s="135">
        <f t="shared" si="4"/>
        <v>14908.9</v>
      </c>
    </row>
    <row r="48" ht="14.25" hidden="1" customHeight="1">
      <c r="A48" s="131">
        <v>44.0</v>
      </c>
      <c r="B48" s="132">
        <v>47177.0</v>
      </c>
      <c r="C48" s="146"/>
      <c r="D48" s="135">
        <f t="shared" si="1"/>
        <v>149.1</v>
      </c>
      <c r="E48" s="135">
        <f t="shared" si="2"/>
        <v>363.7</v>
      </c>
      <c r="F48" s="133">
        <f t="shared" si="3"/>
        <v>512.8</v>
      </c>
      <c r="G48" s="135">
        <f t="shared" si="4"/>
        <v>14545.2</v>
      </c>
    </row>
    <row r="49" ht="14.25" hidden="1" customHeight="1">
      <c r="A49" s="131">
        <v>45.0</v>
      </c>
      <c r="B49" s="132">
        <v>47206.0</v>
      </c>
      <c r="C49" s="146"/>
      <c r="D49" s="135">
        <f t="shared" si="1"/>
        <v>145.5</v>
      </c>
      <c r="E49" s="135">
        <f t="shared" si="2"/>
        <v>363.7</v>
      </c>
      <c r="F49" s="133">
        <f t="shared" si="3"/>
        <v>509.2</v>
      </c>
      <c r="G49" s="135">
        <f t="shared" si="4"/>
        <v>14181.5</v>
      </c>
    </row>
    <row r="50" ht="14.25" hidden="1" customHeight="1">
      <c r="A50" s="131">
        <v>46.0</v>
      </c>
      <c r="B50" s="132">
        <v>47237.0</v>
      </c>
      <c r="C50" s="146"/>
      <c r="D50" s="135">
        <f t="shared" si="1"/>
        <v>141.8</v>
      </c>
      <c r="E50" s="135">
        <f t="shared" si="2"/>
        <v>363.7</v>
      </c>
      <c r="F50" s="133">
        <f t="shared" si="3"/>
        <v>505.5</v>
      </c>
      <c r="G50" s="135">
        <f t="shared" si="4"/>
        <v>13817.8</v>
      </c>
    </row>
    <row r="51" ht="14.25" hidden="1" customHeight="1">
      <c r="A51" s="131">
        <v>47.0</v>
      </c>
      <c r="B51" s="132">
        <v>47267.0</v>
      </c>
      <c r="C51" s="146"/>
      <c r="D51" s="135">
        <f t="shared" si="1"/>
        <v>138.2</v>
      </c>
      <c r="E51" s="135">
        <f t="shared" si="2"/>
        <v>363.7</v>
      </c>
      <c r="F51" s="133">
        <f t="shared" si="3"/>
        <v>501.9</v>
      </c>
      <c r="G51" s="135">
        <f t="shared" si="4"/>
        <v>13454.1</v>
      </c>
    </row>
    <row r="52" ht="14.25" hidden="1" customHeight="1">
      <c r="A52" s="131">
        <v>48.0</v>
      </c>
      <c r="B52" s="132">
        <v>47298.0</v>
      </c>
      <c r="C52" s="146"/>
      <c r="D52" s="135">
        <f t="shared" si="1"/>
        <v>134.5</v>
      </c>
      <c r="E52" s="135">
        <f t="shared" si="2"/>
        <v>363.7</v>
      </c>
      <c r="F52" s="133">
        <f t="shared" si="3"/>
        <v>498.2</v>
      </c>
      <c r="G52" s="135">
        <f t="shared" si="4"/>
        <v>13090.4</v>
      </c>
    </row>
    <row r="53" ht="14.25" hidden="1" customHeight="1">
      <c r="A53" s="131">
        <v>49.0</v>
      </c>
      <c r="B53" s="132">
        <v>47328.0</v>
      </c>
      <c r="C53" s="146"/>
      <c r="D53" s="135">
        <f t="shared" si="1"/>
        <v>130.9</v>
      </c>
      <c r="E53" s="135">
        <f t="shared" si="2"/>
        <v>363.7</v>
      </c>
      <c r="F53" s="133">
        <f t="shared" si="3"/>
        <v>494.6</v>
      </c>
      <c r="G53" s="135">
        <f t="shared" si="4"/>
        <v>12726.7</v>
      </c>
    </row>
    <row r="54" ht="14.25" hidden="1" customHeight="1">
      <c r="A54" s="131">
        <v>50.0</v>
      </c>
      <c r="B54" s="132">
        <v>47359.0</v>
      </c>
      <c r="C54" s="146"/>
      <c r="D54" s="135">
        <f t="shared" si="1"/>
        <v>127.3</v>
      </c>
      <c r="E54" s="135">
        <f t="shared" si="2"/>
        <v>363.7</v>
      </c>
      <c r="F54" s="133">
        <f t="shared" si="3"/>
        <v>491</v>
      </c>
      <c r="G54" s="135">
        <f t="shared" si="4"/>
        <v>12363</v>
      </c>
    </row>
    <row r="55" ht="14.25" hidden="1" customHeight="1">
      <c r="A55" s="131">
        <v>51.0</v>
      </c>
      <c r="B55" s="132">
        <v>47390.0</v>
      </c>
      <c r="C55" s="146"/>
      <c r="D55" s="135">
        <f t="shared" si="1"/>
        <v>123.6</v>
      </c>
      <c r="E55" s="135">
        <f t="shared" si="2"/>
        <v>363.7</v>
      </c>
      <c r="F55" s="133">
        <f t="shared" si="3"/>
        <v>487.3</v>
      </c>
      <c r="G55" s="135">
        <f t="shared" si="4"/>
        <v>11999.3</v>
      </c>
    </row>
    <row r="56" ht="14.25" hidden="1" customHeight="1">
      <c r="A56" s="131">
        <v>52.0</v>
      </c>
      <c r="B56" s="132">
        <v>47420.0</v>
      </c>
      <c r="C56" s="146"/>
      <c r="D56" s="135">
        <f t="shared" si="1"/>
        <v>120</v>
      </c>
      <c r="E56" s="135">
        <f t="shared" si="2"/>
        <v>363.7</v>
      </c>
      <c r="F56" s="133">
        <f t="shared" si="3"/>
        <v>483.7</v>
      </c>
      <c r="G56" s="135">
        <f t="shared" si="4"/>
        <v>11635.6</v>
      </c>
    </row>
    <row r="57" ht="14.25" hidden="1" customHeight="1">
      <c r="A57" s="131">
        <v>53.0</v>
      </c>
      <c r="B57" s="132">
        <v>47451.0</v>
      </c>
      <c r="C57" s="146"/>
      <c r="D57" s="135">
        <f t="shared" si="1"/>
        <v>116.4</v>
      </c>
      <c r="E57" s="135">
        <f t="shared" si="2"/>
        <v>363.7</v>
      </c>
      <c r="F57" s="133">
        <f t="shared" si="3"/>
        <v>480.1</v>
      </c>
      <c r="G57" s="135">
        <f t="shared" si="4"/>
        <v>11271.9</v>
      </c>
    </row>
    <row r="58" ht="14.25" hidden="1" customHeight="1">
      <c r="A58" s="131">
        <v>54.0</v>
      </c>
      <c r="B58" s="132">
        <v>47481.0</v>
      </c>
      <c r="C58" s="146"/>
      <c r="D58" s="135">
        <f t="shared" si="1"/>
        <v>112.7</v>
      </c>
      <c r="E58" s="135">
        <f t="shared" si="2"/>
        <v>363.7</v>
      </c>
      <c r="F58" s="133">
        <f t="shared" si="3"/>
        <v>476.4</v>
      </c>
      <c r="G58" s="135">
        <f t="shared" si="4"/>
        <v>10908.2</v>
      </c>
    </row>
    <row r="59" ht="14.25" hidden="1" customHeight="1">
      <c r="A59" s="131">
        <v>55.0</v>
      </c>
      <c r="B59" s="132">
        <v>47512.0</v>
      </c>
      <c r="C59" s="146"/>
      <c r="D59" s="135">
        <f t="shared" si="1"/>
        <v>109.1</v>
      </c>
      <c r="E59" s="135">
        <f t="shared" si="2"/>
        <v>363.7</v>
      </c>
      <c r="F59" s="133">
        <f t="shared" si="3"/>
        <v>472.8</v>
      </c>
      <c r="G59" s="135">
        <f t="shared" si="4"/>
        <v>10544.5</v>
      </c>
    </row>
    <row r="60" ht="14.25" hidden="1" customHeight="1">
      <c r="A60" s="131">
        <v>56.0</v>
      </c>
      <c r="B60" s="132">
        <v>47542.0</v>
      </c>
      <c r="C60" s="146"/>
      <c r="D60" s="135">
        <f t="shared" si="1"/>
        <v>105.4</v>
      </c>
      <c r="E60" s="135">
        <f t="shared" si="2"/>
        <v>363.7</v>
      </c>
      <c r="F60" s="133">
        <f t="shared" si="3"/>
        <v>469.1</v>
      </c>
      <c r="G60" s="135">
        <f t="shared" si="4"/>
        <v>10180.8</v>
      </c>
    </row>
    <row r="61" ht="14.25" hidden="1" customHeight="1">
      <c r="A61" s="131">
        <v>57.0</v>
      </c>
      <c r="B61" s="132">
        <v>47571.0</v>
      </c>
      <c r="C61" s="146"/>
      <c r="D61" s="135">
        <f t="shared" si="1"/>
        <v>101.8</v>
      </c>
      <c r="E61" s="135">
        <f t="shared" si="2"/>
        <v>363.7</v>
      </c>
      <c r="F61" s="133">
        <f t="shared" si="3"/>
        <v>465.5</v>
      </c>
      <c r="G61" s="135">
        <f t="shared" si="4"/>
        <v>9817.1</v>
      </c>
    </row>
    <row r="62" ht="14.25" hidden="1" customHeight="1">
      <c r="A62" s="131">
        <v>58.0</v>
      </c>
      <c r="B62" s="132">
        <v>47602.0</v>
      </c>
      <c r="C62" s="146"/>
      <c r="D62" s="135">
        <f t="shared" si="1"/>
        <v>98.2</v>
      </c>
      <c r="E62" s="135">
        <f t="shared" si="2"/>
        <v>363.7</v>
      </c>
      <c r="F62" s="133">
        <f t="shared" si="3"/>
        <v>461.9</v>
      </c>
      <c r="G62" s="135">
        <f t="shared" si="4"/>
        <v>9453.4</v>
      </c>
    </row>
    <row r="63" ht="14.25" hidden="1" customHeight="1">
      <c r="A63" s="131">
        <v>59.0</v>
      </c>
      <c r="B63" s="132">
        <v>47632.0</v>
      </c>
      <c r="C63" s="146"/>
      <c r="D63" s="135">
        <f t="shared" si="1"/>
        <v>94.5</v>
      </c>
      <c r="E63" s="135">
        <f t="shared" si="2"/>
        <v>363.7</v>
      </c>
      <c r="F63" s="133">
        <f t="shared" si="3"/>
        <v>458.2</v>
      </c>
      <c r="G63" s="135">
        <f t="shared" si="4"/>
        <v>9089.7</v>
      </c>
    </row>
    <row r="64" ht="14.25" hidden="1" customHeight="1">
      <c r="A64" s="131">
        <v>60.0</v>
      </c>
      <c r="B64" s="132">
        <v>47663.0</v>
      </c>
      <c r="C64" s="146"/>
      <c r="D64" s="135">
        <f t="shared" si="1"/>
        <v>90.9</v>
      </c>
      <c r="E64" s="135">
        <f t="shared" si="2"/>
        <v>363.7</v>
      </c>
      <c r="F64" s="133">
        <f t="shared" si="3"/>
        <v>454.6</v>
      </c>
      <c r="G64" s="135">
        <f t="shared" si="4"/>
        <v>8726</v>
      </c>
    </row>
    <row r="65" ht="14.25" hidden="1" customHeight="1">
      <c r="A65" s="131">
        <v>61.0</v>
      </c>
      <c r="B65" s="132">
        <v>47693.0</v>
      </c>
      <c r="C65" s="146"/>
      <c r="D65" s="135">
        <f t="shared" si="1"/>
        <v>87.3</v>
      </c>
      <c r="E65" s="135">
        <f t="shared" si="2"/>
        <v>363.7</v>
      </c>
      <c r="F65" s="133">
        <f t="shared" si="3"/>
        <v>451</v>
      </c>
      <c r="G65" s="135">
        <f t="shared" si="4"/>
        <v>8362.3</v>
      </c>
    </row>
    <row r="66" ht="14.25" hidden="1" customHeight="1">
      <c r="A66" s="131">
        <v>62.0</v>
      </c>
      <c r="B66" s="132">
        <v>47724.0</v>
      </c>
      <c r="C66" s="146"/>
      <c r="D66" s="135">
        <f t="shared" si="1"/>
        <v>83.6</v>
      </c>
      <c r="E66" s="135">
        <f t="shared" si="2"/>
        <v>363.7</v>
      </c>
      <c r="F66" s="133">
        <f t="shared" si="3"/>
        <v>447.3</v>
      </c>
      <c r="G66" s="135">
        <f t="shared" si="4"/>
        <v>7998.6</v>
      </c>
    </row>
    <row r="67" ht="14.25" hidden="1" customHeight="1">
      <c r="A67" s="131">
        <v>63.0</v>
      </c>
      <c r="B67" s="132">
        <v>47755.0</v>
      </c>
      <c r="C67" s="146"/>
      <c r="D67" s="135">
        <f t="shared" si="1"/>
        <v>80</v>
      </c>
      <c r="E67" s="135">
        <f t="shared" si="2"/>
        <v>363.7</v>
      </c>
      <c r="F67" s="133">
        <f t="shared" si="3"/>
        <v>443.7</v>
      </c>
      <c r="G67" s="135">
        <f t="shared" si="4"/>
        <v>7634.9</v>
      </c>
    </row>
    <row r="68" ht="14.25" hidden="1" customHeight="1">
      <c r="A68" s="131">
        <v>64.0</v>
      </c>
      <c r="B68" s="132">
        <v>47785.0</v>
      </c>
      <c r="C68" s="146"/>
      <c r="D68" s="135">
        <f t="shared" si="1"/>
        <v>76.3</v>
      </c>
      <c r="E68" s="135">
        <f t="shared" si="2"/>
        <v>363.7</v>
      </c>
      <c r="F68" s="133">
        <f t="shared" si="3"/>
        <v>440</v>
      </c>
      <c r="G68" s="135">
        <f t="shared" si="4"/>
        <v>7271.2</v>
      </c>
    </row>
    <row r="69" ht="14.25" hidden="1" customHeight="1">
      <c r="A69" s="131">
        <v>65.0</v>
      </c>
      <c r="B69" s="132">
        <v>47816.0</v>
      </c>
      <c r="C69" s="146"/>
      <c r="D69" s="135">
        <f t="shared" si="1"/>
        <v>72.7</v>
      </c>
      <c r="E69" s="135">
        <f t="shared" si="2"/>
        <v>363.7</v>
      </c>
      <c r="F69" s="133">
        <f t="shared" si="3"/>
        <v>436.4</v>
      </c>
      <c r="G69" s="135">
        <f t="shared" si="4"/>
        <v>6907.5</v>
      </c>
    </row>
    <row r="70" ht="14.25" hidden="1" customHeight="1">
      <c r="A70" s="131">
        <v>66.0</v>
      </c>
      <c r="B70" s="132">
        <v>47846.0</v>
      </c>
      <c r="C70" s="146"/>
      <c r="D70" s="135">
        <f t="shared" si="1"/>
        <v>69.1</v>
      </c>
      <c r="E70" s="135">
        <f t="shared" si="2"/>
        <v>363.7</v>
      </c>
      <c r="F70" s="133">
        <f t="shared" si="3"/>
        <v>432.8</v>
      </c>
      <c r="G70" s="135">
        <f t="shared" si="4"/>
        <v>6543.8</v>
      </c>
    </row>
    <row r="71" ht="14.25" hidden="1" customHeight="1">
      <c r="A71" s="131">
        <v>67.0</v>
      </c>
      <c r="B71" s="132">
        <v>47877.0</v>
      </c>
      <c r="C71" s="146"/>
      <c r="D71" s="135">
        <f t="shared" si="1"/>
        <v>65.4</v>
      </c>
      <c r="E71" s="135">
        <f t="shared" si="2"/>
        <v>363.7</v>
      </c>
      <c r="F71" s="133">
        <f t="shared" si="3"/>
        <v>429.1</v>
      </c>
      <c r="G71" s="135">
        <f t="shared" si="4"/>
        <v>6180.1</v>
      </c>
    </row>
    <row r="72" ht="14.25" hidden="1" customHeight="1">
      <c r="A72" s="131">
        <v>68.0</v>
      </c>
      <c r="B72" s="132">
        <v>47907.0</v>
      </c>
      <c r="C72" s="146"/>
      <c r="D72" s="135">
        <f t="shared" si="1"/>
        <v>61.8</v>
      </c>
      <c r="E72" s="135">
        <f t="shared" si="2"/>
        <v>363.7</v>
      </c>
      <c r="F72" s="133">
        <f t="shared" si="3"/>
        <v>425.5</v>
      </c>
      <c r="G72" s="135">
        <f t="shared" si="4"/>
        <v>5816.4</v>
      </c>
    </row>
    <row r="73" ht="14.25" hidden="1" customHeight="1">
      <c r="A73" s="131">
        <v>69.0</v>
      </c>
      <c r="B73" s="132">
        <v>47936.0</v>
      </c>
      <c r="C73" s="146"/>
      <c r="D73" s="135">
        <f t="shared" si="1"/>
        <v>58.2</v>
      </c>
      <c r="E73" s="135">
        <f t="shared" si="2"/>
        <v>363.7</v>
      </c>
      <c r="F73" s="133">
        <f t="shared" si="3"/>
        <v>421.9</v>
      </c>
      <c r="G73" s="135">
        <f t="shared" si="4"/>
        <v>5452.7</v>
      </c>
    </row>
    <row r="74" ht="14.25" hidden="1" customHeight="1">
      <c r="A74" s="131">
        <v>70.0</v>
      </c>
      <c r="B74" s="132">
        <v>47967.0</v>
      </c>
      <c r="C74" s="146"/>
      <c r="D74" s="135">
        <f t="shared" si="1"/>
        <v>54.5</v>
      </c>
      <c r="E74" s="135">
        <f t="shared" si="2"/>
        <v>363.7</v>
      </c>
      <c r="F74" s="133">
        <f t="shared" si="3"/>
        <v>418.2</v>
      </c>
      <c r="G74" s="135">
        <f t="shared" si="4"/>
        <v>5089</v>
      </c>
    </row>
    <row r="75" ht="14.25" hidden="1" customHeight="1">
      <c r="A75" s="131">
        <v>71.0</v>
      </c>
      <c r="B75" s="132">
        <v>47997.0</v>
      </c>
      <c r="C75" s="146"/>
      <c r="D75" s="135">
        <f t="shared" si="1"/>
        <v>50.9</v>
      </c>
      <c r="E75" s="135">
        <f t="shared" si="2"/>
        <v>363.7</v>
      </c>
      <c r="F75" s="133">
        <f t="shared" si="3"/>
        <v>414.6</v>
      </c>
      <c r="G75" s="135">
        <f t="shared" si="4"/>
        <v>4725.3</v>
      </c>
    </row>
    <row r="76" ht="14.25" hidden="1" customHeight="1">
      <c r="A76" s="131">
        <v>72.0</v>
      </c>
      <c r="B76" s="132">
        <v>48028.0</v>
      </c>
      <c r="C76" s="146"/>
      <c r="D76" s="135">
        <f t="shared" si="1"/>
        <v>47.3</v>
      </c>
      <c r="E76" s="135">
        <f t="shared" si="2"/>
        <v>363.7</v>
      </c>
      <c r="F76" s="133">
        <f t="shared" si="3"/>
        <v>411</v>
      </c>
      <c r="G76" s="135">
        <f t="shared" si="4"/>
        <v>4361.6</v>
      </c>
    </row>
    <row r="77" ht="14.25" hidden="1" customHeight="1">
      <c r="A77" s="131">
        <v>73.0</v>
      </c>
      <c r="B77" s="132">
        <v>48058.0</v>
      </c>
      <c r="C77" s="146"/>
      <c r="D77" s="135">
        <f t="shared" si="1"/>
        <v>43.6</v>
      </c>
      <c r="E77" s="135">
        <f t="shared" si="2"/>
        <v>363.7</v>
      </c>
      <c r="F77" s="133">
        <f t="shared" si="3"/>
        <v>407.3</v>
      </c>
      <c r="G77" s="135">
        <f t="shared" si="4"/>
        <v>3997.9</v>
      </c>
    </row>
    <row r="78" ht="14.25" hidden="1" customHeight="1">
      <c r="A78" s="131">
        <v>74.0</v>
      </c>
      <c r="B78" s="132">
        <v>48089.0</v>
      </c>
      <c r="C78" s="146"/>
      <c r="D78" s="135">
        <f t="shared" si="1"/>
        <v>40</v>
      </c>
      <c r="E78" s="135">
        <f t="shared" si="2"/>
        <v>363.7</v>
      </c>
      <c r="F78" s="133">
        <f t="shared" si="3"/>
        <v>403.7</v>
      </c>
      <c r="G78" s="135">
        <f t="shared" si="4"/>
        <v>3634.2</v>
      </c>
    </row>
    <row r="79" ht="14.25" hidden="1" customHeight="1">
      <c r="A79" s="131">
        <v>75.0</v>
      </c>
      <c r="B79" s="132">
        <v>48120.0</v>
      </c>
      <c r="C79" s="146"/>
      <c r="D79" s="135">
        <f t="shared" si="1"/>
        <v>36.3</v>
      </c>
      <c r="E79" s="135">
        <f t="shared" si="2"/>
        <v>363.7</v>
      </c>
      <c r="F79" s="133">
        <f t="shared" si="3"/>
        <v>400</v>
      </c>
      <c r="G79" s="135">
        <f t="shared" si="4"/>
        <v>3270.5</v>
      </c>
    </row>
    <row r="80" ht="14.25" hidden="1" customHeight="1">
      <c r="A80" s="131">
        <v>76.0</v>
      </c>
      <c r="B80" s="132">
        <v>48150.0</v>
      </c>
      <c r="C80" s="146"/>
      <c r="D80" s="135">
        <f t="shared" si="1"/>
        <v>32.7</v>
      </c>
      <c r="E80" s="135">
        <f t="shared" si="2"/>
        <v>363.7</v>
      </c>
      <c r="F80" s="133">
        <f t="shared" si="3"/>
        <v>396.4</v>
      </c>
      <c r="G80" s="135">
        <f t="shared" si="4"/>
        <v>2906.8</v>
      </c>
    </row>
    <row r="81" ht="14.25" hidden="1" customHeight="1">
      <c r="A81" s="131">
        <v>77.0</v>
      </c>
      <c r="B81" s="132">
        <v>48181.0</v>
      </c>
      <c r="C81" s="146"/>
      <c r="D81" s="135">
        <f t="shared" si="1"/>
        <v>29.1</v>
      </c>
      <c r="E81" s="135">
        <f t="shared" si="2"/>
        <v>363.7</v>
      </c>
      <c r="F81" s="133">
        <f t="shared" si="3"/>
        <v>392.8</v>
      </c>
      <c r="G81" s="135">
        <f t="shared" si="4"/>
        <v>2543.1</v>
      </c>
    </row>
    <row r="82" ht="14.25" hidden="1" customHeight="1">
      <c r="A82" s="131">
        <v>78.0</v>
      </c>
      <c r="B82" s="132">
        <v>48211.0</v>
      </c>
      <c r="C82" s="146"/>
      <c r="D82" s="135">
        <f t="shared" si="1"/>
        <v>25.4</v>
      </c>
      <c r="E82" s="135">
        <f t="shared" si="2"/>
        <v>363.7</v>
      </c>
      <c r="F82" s="133">
        <f t="shared" si="3"/>
        <v>389.1</v>
      </c>
      <c r="G82" s="135">
        <f t="shared" si="4"/>
        <v>2179.4</v>
      </c>
    </row>
    <row r="83" ht="14.25" hidden="1" customHeight="1">
      <c r="A83" s="131">
        <v>79.0</v>
      </c>
      <c r="B83" s="132">
        <v>48242.0</v>
      </c>
      <c r="C83" s="146"/>
      <c r="D83" s="135">
        <f t="shared" si="1"/>
        <v>21.8</v>
      </c>
      <c r="E83" s="135">
        <f t="shared" si="2"/>
        <v>363.7</v>
      </c>
      <c r="F83" s="133">
        <f t="shared" si="3"/>
        <v>385.5</v>
      </c>
      <c r="G83" s="135">
        <f t="shared" si="4"/>
        <v>1815.7</v>
      </c>
    </row>
    <row r="84" ht="14.25" hidden="1" customHeight="1">
      <c r="A84" s="131">
        <v>80.0</v>
      </c>
      <c r="B84" s="132">
        <v>48273.0</v>
      </c>
      <c r="C84" s="146"/>
      <c r="D84" s="135">
        <f t="shared" si="1"/>
        <v>18.2</v>
      </c>
      <c r="E84" s="135">
        <f t="shared" si="2"/>
        <v>363.7</v>
      </c>
      <c r="F84" s="133">
        <f t="shared" si="3"/>
        <v>381.9</v>
      </c>
      <c r="G84" s="135">
        <f t="shared" si="4"/>
        <v>1452</v>
      </c>
    </row>
    <row r="85" ht="14.25" hidden="1" customHeight="1">
      <c r="A85" s="131">
        <v>81.0</v>
      </c>
      <c r="B85" s="132">
        <v>48302.0</v>
      </c>
      <c r="C85" s="146"/>
      <c r="D85" s="135">
        <f t="shared" si="1"/>
        <v>14.5</v>
      </c>
      <c r="E85" s="135">
        <f t="shared" si="2"/>
        <v>363.7</v>
      </c>
      <c r="F85" s="133">
        <f t="shared" si="3"/>
        <v>378.2</v>
      </c>
      <c r="G85" s="135">
        <f t="shared" si="4"/>
        <v>1088.3</v>
      </c>
    </row>
    <row r="86" ht="14.25" hidden="1" customHeight="1">
      <c r="A86" s="131">
        <v>82.0</v>
      </c>
      <c r="B86" s="132">
        <v>48333.0</v>
      </c>
      <c r="C86" s="146"/>
      <c r="D86" s="135">
        <f t="shared" si="1"/>
        <v>10.9</v>
      </c>
      <c r="E86" s="135">
        <f t="shared" si="2"/>
        <v>363.7</v>
      </c>
      <c r="F86" s="133">
        <f t="shared" si="3"/>
        <v>374.6</v>
      </c>
      <c r="G86" s="135">
        <f t="shared" si="4"/>
        <v>724.6</v>
      </c>
    </row>
    <row r="87" ht="14.25" hidden="1" customHeight="1">
      <c r="A87" s="131">
        <v>83.0</v>
      </c>
      <c r="B87" s="132">
        <v>48363.0</v>
      </c>
      <c r="C87" s="146"/>
      <c r="D87" s="135">
        <f t="shared" si="1"/>
        <v>7.2</v>
      </c>
      <c r="E87" s="135">
        <f t="shared" si="2"/>
        <v>363.7</v>
      </c>
      <c r="F87" s="133">
        <f t="shared" si="3"/>
        <v>370.9</v>
      </c>
      <c r="G87" s="135">
        <f t="shared" si="4"/>
        <v>360.9</v>
      </c>
    </row>
    <row r="88" ht="14.25" hidden="1" customHeight="1">
      <c r="A88" s="131">
        <v>84.0</v>
      </c>
      <c r="B88" s="132">
        <v>48394.0</v>
      </c>
      <c r="C88" s="146"/>
      <c r="D88" s="135">
        <f t="shared" si="1"/>
        <v>3.6</v>
      </c>
      <c r="E88" s="135">
        <f>ROUNDUP($C$4/84,1)-2.8</f>
        <v>360.9</v>
      </c>
      <c r="F88" s="133">
        <f t="shared" si="3"/>
        <v>364.5</v>
      </c>
      <c r="G88" s="135">
        <f t="shared" si="4"/>
        <v>0</v>
      </c>
    </row>
    <row r="89" ht="14.25" hidden="1" customHeight="1">
      <c r="A89" s="129" t="s">
        <v>252</v>
      </c>
      <c r="B89" s="2"/>
      <c r="C89" s="3"/>
      <c r="D89" s="147">
        <f t="shared" ref="D89:F89" si="5">+SUM(D5:D88)</f>
        <v>12981.7</v>
      </c>
      <c r="E89" s="147">
        <f t="shared" si="5"/>
        <v>30548</v>
      </c>
      <c r="F89" s="147">
        <f t="shared" si="5"/>
        <v>43529.7</v>
      </c>
      <c r="G89" s="148"/>
    </row>
    <row r="90" ht="14.25" customHeight="1"/>
    <row r="91" ht="14.25" customHeight="1">
      <c r="A91" s="128" t="s">
        <v>361</v>
      </c>
      <c r="B91" s="2"/>
      <c r="C91" s="2"/>
      <c r="D91" s="2"/>
      <c r="E91" s="2"/>
      <c r="F91" s="2"/>
      <c r="G91" s="3"/>
    </row>
    <row r="92" ht="14.25" customHeight="1">
      <c r="A92" s="150" t="s">
        <v>362</v>
      </c>
      <c r="B92" s="2"/>
      <c r="C92" s="2"/>
      <c r="D92" s="2"/>
      <c r="E92" s="2"/>
      <c r="F92" s="2"/>
      <c r="G92" s="3"/>
    </row>
    <row r="93" ht="14.25" customHeight="1">
      <c r="A93" s="130" t="s">
        <v>326</v>
      </c>
      <c r="B93" s="130" t="s">
        <v>256</v>
      </c>
      <c r="C93" s="130" t="s">
        <v>327</v>
      </c>
      <c r="D93" s="130" t="s">
        <v>328</v>
      </c>
      <c r="E93" s="130" t="s">
        <v>329</v>
      </c>
      <c r="F93" s="130" t="s">
        <v>330</v>
      </c>
      <c r="G93" s="130" t="s">
        <v>209</v>
      </c>
    </row>
    <row r="94" ht="14.25" customHeight="1">
      <c r="A94" s="131">
        <v>0.0</v>
      </c>
      <c r="B94" s="132">
        <v>46051.0</v>
      </c>
      <c r="C94" s="133">
        <f>+J97</f>
        <v>33002.1</v>
      </c>
      <c r="D94" s="134">
        <v>0.01</v>
      </c>
      <c r="E94" s="135"/>
      <c r="F94" s="135"/>
      <c r="G94" s="135">
        <f>+C94</f>
        <v>33002.1</v>
      </c>
    </row>
    <row r="95" ht="14.25" customHeight="1">
      <c r="A95" s="136">
        <v>1.0</v>
      </c>
      <c r="B95" s="137">
        <v>46081.0</v>
      </c>
      <c r="C95" s="145"/>
      <c r="D95" s="138">
        <f t="shared" ref="D95:D178" si="6">+ROUND(G94*0.01,1)</f>
        <v>330</v>
      </c>
      <c r="E95" s="138">
        <f t="shared" ref="E95:E177" si="7">ROUND($C$94/84,1)</f>
        <v>392.9</v>
      </c>
      <c r="F95" s="139">
        <f t="shared" ref="F95:F178" si="8">+ROUND(D95+E95,1)</f>
        <v>722.9</v>
      </c>
      <c r="G95" s="138">
        <f t="shared" ref="G95:G178" si="9">+ROUND(G94-E95,1)</f>
        <v>32609.2</v>
      </c>
      <c r="I95" s="140" t="s">
        <v>209</v>
      </c>
      <c r="J95" s="141">
        <f>G11</f>
        <v>28002.1</v>
      </c>
    </row>
    <row r="96" ht="14.25" customHeight="1">
      <c r="A96" s="131">
        <v>2.0</v>
      </c>
      <c r="B96" s="132">
        <v>46110.0</v>
      </c>
      <c r="C96" s="146"/>
      <c r="D96" s="135">
        <f t="shared" si="6"/>
        <v>326.1</v>
      </c>
      <c r="E96" s="135">
        <f t="shared" si="7"/>
        <v>392.9</v>
      </c>
      <c r="F96" s="133">
        <f t="shared" si="8"/>
        <v>719</v>
      </c>
      <c r="G96" s="135">
        <f t="shared" si="9"/>
        <v>32216.3</v>
      </c>
      <c r="I96" s="140" t="s">
        <v>331</v>
      </c>
      <c r="J96" s="141">
        <v>5000.0</v>
      </c>
    </row>
    <row r="97" ht="14.25" customHeight="1">
      <c r="A97" s="131">
        <v>3.0</v>
      </c>
      <c r="B97" s="132">
        <v>46141.0</v>
      </c>
      <c r="C97" s="146"/>
      <c r="D97" s="135">
        <f t="shared" si="6"/>
        <v>322.2</v>
      </c>
      <c r="E97" s="135">
        <f t="shared" si="7"/>
        <v>392.9</v>
      </c>
      <c r="F97" s="133">
        <f t="shared" si="8"/>
        <v>715.1</v>
      </c>
      <c r="G97" s="135">
        <f t="shared" si="9"/>
        <v>31823.4</v>
      </c>
      <c r="I97" s="142" t="s">
        <v>252</v>
      </c>
      <c r="J97" s="143">
        <f>+SUM(J95:J96)</f>
        <v>33002.1</v>
      </c>
    </row>
    <row r="98" ht="14.25" customHeight="1">
      <c r="A98" s="131">
        <v>4.0</v>
      </c>
      <c r="B98" s="132">
        <v>46171.0</v>
      </c>
      <c r="C98" s="146"/>
      <c r="D98" s="135">
        <f t="shared" si="6"/>
        <v>318.2</v>
      </c>
      <c r="E98" s="135">
        <f t="shared" si="7"/>
        <v>392.9</v>
      </c>
      <c r="F98" s="133">
        <f t="shared" si="8"/>
        <v>711.1</v>
      </c>
      <c r="G98" s="135">
        <f t="shared" si="9"/>
        <v>31430.5</v>
      </c>
    </row>
    <row r="99" ht="14.25" customHeight="1">
      <c r="A99" s="131">
        <v>5.0</v>
      </c>
      <c r="B99" s="132">
        <v>46202.0</v>
      </c>
      <c r="C99" s="146"/>
      <c r="D99" s="135">
        <f t="shared" si="6"/>
        <v>314.3</v>
      </c>
      <c r="E99" s="135">
        <f t="shared" si="7"/>
        <v>392.9</v>
      </c>
      <c r="F99" s="133">
        <f t="shared" si="8"/>
        <v>707.2</v>
      </c>
      <c r="G99" s="135">
        <f t="shared" si="9"/>
        <v>31037.6</v>
      </c>
    </row>
    <row r="100" ht="14.25" customHeight="1">
      <c r="A100" s="131">
        <v>6.0</v>
      </c>
      <c r="B100" s="132">
        <v>46232.0</v>
      </c>
      <c r="C100" s="146"/>
      <c r="D100" s="135">
        <f t="shared" si="6"/>
        <v>310.4</v>
      </c>
      <c r="E100" s="135">
        <f t="shared" si="7"/>
        <v>392.9</v>
      </c>
      <c r="F100" s="133">
        <f t="shared" si="8"/>
        <v>703.3</v>
      </c>
      <c r="G100" s="135">
        <f t="shared" si="9"/>
        <v>30644.7</v>
      </c>
    </row>
    <row r="101" ht="14.25" customHeight="1">
      <c r="A101" s="131">
        <v>7.0</v>
      </c>
      <c r="B101" s="132">
        <v>46263.0</v>
      </c>
      <c r="C101" s="146"/>
      <c r="D101" s="135">
        <f t="shared" si="6"/>
        <v>306.4</v>
      </c>
      <c r="E101" s="135">
        <f t="shared" si="7"/>
        <v>392.9</v>
      </c>
      <c r="F101" s="133">
        <f t="shared" si="8"/>
        <v>699.3</v>
      </c>
      <c r="G101" s="135">
        <f t="shared" si="9"/>
        <v>30251.8</v>
      </c>
    </row>
    <row r="102" ht="14.25" customHeight="1">
      <c r="A102" s="131">
        <v>8.0</v>
      </c>
      <c r="B102" s="132">
        <v>46294.0</v>
      </c>
      <c r="C102" s="146"/>
      <c r="D102" s="135">
        <f t="shared" si="6"/>
        <v>302.5</v>
      </c>
      <c r="E102" s="135">
        <f t="shared" si="7"/>
        <v>392.9</v>
      </c>
      <c r="F102" s="133">
        <f t="shared" si="8"/>
        <v>695.4</v>
      </c>
      <c r="G102" s="135">
        <f t="shared" si="9"/>
        <v>29858.9</v>
      </c>
    </row>
    <row r="103" ht="14.25" customHeight="1">
      <c r="A103" s="131">
        <v>9.0</v>
      </c>
      <c r="B103" s="132">
        <v>46324.0</v>
      </c>
      <c r="C103" s="146"/>
      <c r="D103" s="135">
        <f t="shared" si="6"/>
        <v>298.6</v>
      </c>
      <c r="E103" s="135">
        <f t="shared" si="7"/>
        <v>392.9</v>
      </c>
      <c r="F103" s="133">
        <f t="shared" si="8"/>
        <v>691.5</v>
      </c>
      <c r="G103" s="135">
        <f t="shared" si="9"/>
        <v>29466</v>
      </c>
    </row>
    <row r="104" ht="14.25" customHeight="1">
      <c r="A104" s="131">
        <v>10.0</v>
      </c>
      <c r="B104" s="132">
        <v>46355.0</v>
      </c>
      <c r="C104" s="146"/>
      <c r="D104" s="135">
        <f t="shared" si="6"/>
        <v>294.7</v>
      </c>
      <c r="E104" s="135">
        <f t="shared" si="7"/>
        <v>392.9</v>
      </c>
      <c r="F104" s="133">
        <f t="shared" si="8"/>
        <v>687.6</v>
      </c>
      <c r="G104" s="135">
        <f t="shared" si="9"/>
        <v>29073.1</v>
      </c>
    </row>
    <row r="105" ht="14.25" customHeight="1">
      <c r="A105" s="131">
        <v>11.0</v>
      </c>
      <c r="B105" s="132">
        <v>46385.0</v>
      </c>
      <c r="C105" s="146"/>
      <c r="D105" s="135">
        <f t="shared" si="6"/>
        <v>290.7</v>
      </c>
      <c r="E105" s="135">
        <f t="shared" si="7"/>
        <v>392.9</v>
      </c>
      <c r="F105" s="133">
        <f t="shared" si="8"/>
        <v>683.6</v>
      </c>
      <c r="G105" s="135">
        <f t="shared" si="9"/>
        <v>28680.2</v>
      </c>
    </row>
    <row r="106" ht="14.25" customHeight="1">
      <c r="A106" s="131">
        <v>12.0</v>
      </c>
      <c r="B106" s="132">
        <v>46416.0</v>
      </c>
      <c r="C106" s="146"/>
      <c r="D106" s="135">
        <f t="shared" si="6"/>
        <v>286.8</v>
      </c>
      <c r="E106" s="135">
        <f t="shared" si="7"/>
        <v>392.9</v>
      </c>
      <c r="F106" s="133">
        <f t="shared" si="8"/>
        <v>679.7</v>
      </c>
      <c r="G106" s="135">
        <f t="shared" si="9"/>
        <v>28287.3</v>
      </c>
    </row>
    <row r="107" ht="14.25" customHeight="1">
      <c r="A107" s="131">
        <v>13.0</v>
      </c>
      <c r="B107" s="132">
        <v>46446.0</v>
      </c>
      <c r="C107" s="146"/>
      <c r="D107" s="135">
        <f t="shared" si="6"/>
        <v>282.9</v>
      </c>
      <c r="E107" s="135">
        <f t="shared" si="7"/>
        <v>392.9</v>
      </c>
      <c r="F107" s="133">
        <f t="shared" si="8"/>
        <v>675.8</v>
      </c>
      <c r="G107" s="135">
        <f t="shared" si="9"/>
        <v>27894.4</v>
      </c>
    </row>
    <row r="108" ht="14.25" customHeight="1">
      <c r="A108" s="131">
        <v>14.0</v>
      </c>
      <c r="B108" s="132">
        <v>46475.0</v>
      </c>
      <c r="C108" s="146"/>
      <c r="D108" s="135">
        <f t="shared" si="6"/>
        <v>278.9</v>
      </c>
      <c r="E108" s="135">
        <f t="shared" si="7"/>
        <v>392.9</v>
      </c>
      <c r="F108" s="133">
        <f t="shared" si="8"/>
        <v>671.8</v>
      </c>
      <c r="G108" s="135">
        <f t="shared" si="9"/>
        <v>27501.5</v>
      </c>
    </row>
    <row r="109" ht="14.25" customHeight="1">
      <c r="A109" s="131">
        <v>15.0</v>
      </c>
      <c r="B109" s="132">
        <v>46506.0</v>
      </c>
      <c r="C109" s="146"/>
      <c r="D109" s="135">
        <f t="shared" si="6"/>
        <v>275</v>
      </c>
      <c r="E109" s="135">
        <f t="shared" si="7"/>
        <v>392.9</v>
      </c>
      <c r="F109" s="133">
        <f t="shared" si="8"/>
        <v>667.9</v>
      </c>
      <c r="G109" s="135">
        <f t="shared" si="9"/>
        <v>27108.6</v>
      </c>
    </row>
    <row r="110" ht="14.25" customHeight="1">
      <c r="A110" s="131">
        <v>16.0</v>
      </c>
      <c r="B110" s="132">
        <v>46536.0</v>
      </c>
      <c r="C110" s="146"/>
      <c r="D110" s="135">
        <f t="shared" si="6"/>
        <v>271.1</v>
      </c>
      <c r="E110" s="135">
        <f t="shared" si="7"/>
        <v>392.9</v>
      </c>
      <c r="F110" s="133">
        <f t="shared" si="8"/>
        <v>664</v>
      </c>
      <c r="G110" s="135">
        <f t="shared" si="9"/>
        <v>26715.7</v>
      </c>
    </row>
    <row r="111" ht="14.25" customHeight="1">
      <c r="A111" s="131">
        <v>17.0</v>
      </c>
      <c r="B111" s="132">
        <v>46567.0</v>
      </c>
      <c r="C111" s="146"/>
      <c r="D111" s="135">
        <f t="shared" si="6"/>
        <v>267.2</v>
      </c>
      <c r="E111" s="135">
        <f t="shared" si="7"/>
        <v>392.9</v>
      </c>
      <c r="F111" s="133">
        <f t="shared" si="8"/>
        <v>660.1</v>
      </c>
      <c r="G111" s="135">
        <f t="shared" si="9"/>
        <v>26322.8</v>
      </c>
    </row>
    <row r="112" ht="14.25" customHeight="1">
      <c r="A112" s="131">
        <v>18.0</v>
      </c>
      <c r="B112" s="132">
        <v>46597.0</v>
      </c>
      <c r="C112" s="146"/>
      <c r="D112" s="135">
        <f t="shared" si="6"/>
        <v>263.2</v>
      </c>
      <c r="E112" s="135">
        <f t="shared" si="7"/>
        <v>392.9</v>
      </c>
      <c r="F112" s="133">
        <f t="shared" si="8"/>
        <v>656.1</v>
      </c>
      <c r="G112" s="135">
        <f t="shared" si="9"/>
        <v>25929.9</v>
      </c>
    </row>
    <row r="113" ht="14.25" customHeight="1">
      <c r="A113" s="131">
        <v>19.0</v>
      </c>
      <c r="B113" s="132">
        <v>46628.0</v>
      </c>
      <c r="C113" s="146"/>
      <c r="D113" s="135">
        <f t="shared" si="6"/>
        <v>259.3</v>
      </c>
      <c r="E113" s="135">
        <f t="shared" si="7"/>
        <v>392.9</v>
      </c>
      <c r="F113" s="133">
        <f t="shared" si="8"/>
        <v>652.2</v>
      </c>
      <c r="G113" s="135">
        <f t="shared" si="9"/>
        <v>25537</v>
      </c>
    </row>
    <row r="114" ht="14.25" customHeight="1">
      <c r="A114" s="131">
        <v>20.0</v>
      </c>
      <c r="B114" s="132">
        <v>46659.0</v>
      </c>
      <c r="C114" s="146"/>
      <c r="D114" s="135">
        <f t="shared" si="6"/>
        <v>255.4</v>
      </c>
      <c r="E114" s="135">
        <f t="shared" si="7"/>
        <v>392.9</v>
      </c>
      <c r="F114" s="133">
        <f t="shared" si="8"/>
        <v>648.3</v>
      </c>
      <c r="G114" s="135">
        <f t="shared" si="9"/>
        <v>25144.1</v>
      </c>
    </row>
    <row r="115" ht="14.25" customHeight="1">
      <c r="A115" s="131">
        <v>21.0</v>
      </c>
      <c r="B115" s="132">
        <v>46689.0</v>
      </c>
      <c r="C115" s="146"/>
      <c r="D115" s="135">
        <f t="shared" si="6"/>
        <v>251.4</v>
      </c>
      <c r="E115" s="135">
        <f t="shared" si="7"/>
        <v>392.9</v>
      </c>
      <c r="F115" s="133">
        <f t="shared" si="8"/>
        <v>644.3</v>
      </c>
      <c r="G115" s="135">
        <f t="shared" si="9"/>
        <v>24751.2</v>
      </c>
    </row>
    <row r="116" ht="14.25" customHeight="1">
      <c r="A116" s="131">
        <v>22.0</v>
      </c>
      <c r="B116" s="132">
        <v>46720.0</v>
      </c>
      <c r="C116" s="146"/>
      <c r="D116" s="135">
        <f t="shared" si="6"/>
        <v>247.5</v>
      </c>
      <c r="E116" s="135">
        <f t="shared" si="7"/>
        <v>392.9</v>
      </c>
      <c r="F116" s="133">
        <f t="shared" si="8"/>
        <v>640.4</v>
      </c>
      <c r="G116" s="135">
        <f t="shared" si="9"/>
        <v>24358.3</v>
      </c>
    </row>
    <row r="117" ht="14.25" customHeight="1">
      <c r="A117" s="131">
        <v>23.0</v>
      </c>
      <c r="B117" s="132">
        <v>46750.0</v>
      </c>
      <c r="C117" s="146"/>
      <c r="D117" s="135">
        <f t="shared" si="6"/>
        <v>243.6</v>
      </c>
      <c r="E117" s="135">
        <f t="shared" si="7"/>
        <v>392.9</v>
      </c>
      <c r="F117" s="133">
        <f t="shared" si="8"/>
        <v>636.5</v>
      </c>
      <c r="G117" s="135">
        <f t="shared" si="9"/>
        <v>23965.4</v>
      </c>
    </row>
    <row r="118" ht="14.25" customHeight="1">
      <c r="A118" s="131">
        <v>24.0</v>
      </c>
      <c r="B118" s="132">
        <v>46781.0</v>
      </c>
      <c r="C118" s="146"/>
      <c r="D118" s="135">
        <f t="shared" si="6"/>
        <v>239.7</v>
      </c>
      <c r="E118" s="135">
        <f t="shared" si="7"/>
        <v>392.9</v>
      </c>
      <c r="F118" s="133">
        <f t="shared" si="8"/>
        <v>632.6</v>
      </c>
      <c r="G118" s="135">
        <f t="shared" si="9"/>
        <v>23572.5</v>
      </c>
    </row>
    <row r="119" ht="14.25" customHeight="1">
      <c r="A119" s="131">
        <v>25.0</v>
      </c>
      <c r="B119" s="132">
        <v>46812.0</v>
      </c>
      <c r="C119" s="146"/>
      <c r="D119" s="135">
        <f t="shared" si="6"/>
        <v>235.7</v>
      </c>
      <c r="E119" s="135">
        <f t="shared" si="7"/>
        <v>392.9</v>
      </c>
      <c r="F119" s="133">
        <f t="shared" si="8"/>
        <v>628.6</v>
      </c>
      <c r="G119" s="135">
        <f t="shared" si="9"/>
        <v>23179.6</v>
      </c>
    </row>
    <row r="120" ht="14.25" customHeight="1">
      <c r="A120" s="131">
        <v>26.0</v>
      </c>
      <c r="B120" s="132">
        <v>46841.0</v>
      </c>
      <c r="C120" s="146"/>
      <c r="D120" s="135">
        <f t="shared" si="6"/>
        <v>231.8</v>
      </c>
      <c r="E120" s="135">
        <f t="shared" si="7"/>
        <v>392.9</v>
      </c>
      <c r="F120" s="133">
        <f t="shared" si="8"/>
        <v>624.7</v>
      </c>
      <c r="G120" s="135">
        <f t="shared" si="9"/>
        <v>22786.7</v>
      </c>
    </row>
    <row r="121" ht="14.25" customHeight="1">
      <c r="A121" s="131">
        <v>27.0</v>
      </c>
      <c r="B121" s="132">
        <v>46872.0</v>
      </c>
      <c r="C121" s="146"/>
      <c r="D121" s="135">
        <f t="shared" si="6"/>
        <v>227.9</v>
      </c>
      <c r="E121" s="135">
        <f t="shared" si="7"/>
        <v>392.9</v>
      </c>
      <c r="F121" s="133">
        <f t="shared" si="8"/>
        <v>620.8</v>
      </c>
      <c r="G121" s="135">
        <f t="shared" si="9"/>
        <v>22393.8</v>
      </c>
    </row>
    <row r="122" ht="14.25" customHeight="1">
      <c r="A122" s="131">
        <v>28.0</v>
      </c>
      <c r="B122" s="132">
        <v>46902.0</v>
      </c>
      <c r="C122" s="146"/>
      <c r="D122" s="135">
        <f t="shared" si="6"/>
        <v>223.9</v>
      </c>
      <c r="E122" s="135">
        <f t="shared" si="7"/>
        <v>392.9</v>
      </c>
      <c r="F122" s="133">
        <f t="shared" si="8"/>
        <v>616.8</v>
      </c>
      <c r="G122" s="135">
        <f t="shared" si="9"/>
        <v>22000.9</v>
      </c>
    </row>
    <row r="123" ht="14.25" customHeight="1">
      <c r="A123" s="131">
        <v>29.0</v>
      </c>
      <c r="B123" s="132">
        <v>46933.0</v>
      </c>
      <c r="C123" s="146"/>
      <c r="D123" s="135">
        <f t="shared" si="6"/>
        <v>220</v>
      </c>
      <c r="E123" s="135">
        <f t="shared" si="7"/>
        <v>392.9</v>
      </c>
      <c r="F123" s="133">
        <f t="shared" si="8"/>
        <v>612.9</v>
      </c>
      <c r="G123" s="135">
        <f t="shared" si="9"/>
        <v>21608</v>
      </c>
    </row>
    <row r="124" ht="14.25" customHeight="1">
      <c r="A124" s="131">
        <v>30.0</v>
      </c>
      <c r="B124" s="132">
        <v>46963.0</v>
      </c>
      <c r="C124" s="146"/>
      <c r="D124" s="135">
        <f t="shared" si="6"/>
        <v>216.1</v>
      </c>
      <c r="E124" s="135">
        <f t="shared" si="7"/>
        <v>392.9</v>
      </c>
      <c r="F124" s="133">
        <f t="shared" si="8"/>
        <v>609</v>
      </c>
      <c r="G124" s="135">
        <f t="shared" si="9"/>
        <v>21215.1</v>
      </c>
    </row>
    <row r="125" ht="14.25" customHeight="1">
      <c r="A125" s="131">
        <v>31.0</v>
      </c>
      <c r="B125" s="132">
        <v>46994.0</v>
      </c>
      <c r="C125" s="146"/>
      <c r="D125" s="135">
        <f t="shared" si="6"/>
        <v>212.2</v>
      </c>
      <c r="E125" s="135">
        <f t="shared" si="7"/>
        <v>392.9</v>
      </c>
      <c r="F125" s="133">
        <f t="shared" si="8"/>
        <v>605.1</v>
      </c>
      <c r="G125" s="135">
        <f t="shared" si="9"/>
        <v>20822.2</v>
      </c>
    </row>
    <row r="126" ht="14.25" customHeight="1">
      <c r="A126" s="131">
        <v>32.0</v>
      </c>
      <c r="B126" s="132">
        <v>47025.0</v>
      </c>
      <c r="C126" s="146"/>
      <c r="D126" s="135">
        <f t="shared" si="6"/>
        <v>208.2</v>
      </c>
      <c r="E126" s="135">
        <f t="shared" si="7"/>
        <v>392.9</v>
      </c>
      <c r="F126" s="133">
        <f t="shared" si="8"/>
        <v>601.1</v>
      </c>
      <c r="G126" s="135">
        <f t="shared" si="9"/>
        <v>20429.3</v>
      </c>
    </row>
    <row r="127" ht="14.25" customHeight="1">
      <c r="A127" s="131">
        <v>33.0</v>
      </c>
      <c r="B127" s="132">
        <v>47055.0</v>
      </c>
      <c r="C127" s="146"/>
      <c r="D127" s="135">
        <f t="shared" si="6"/>
        <v>204.3</v>
      </c>
      <c r="E127" s="135">
        <f t="shared" si="7"/>
        <v>392.9</v>
      </c>
      <c r="F127" s="133">
        <f t="shared" si="8"/>
        <v>597.2</v>
      </c>
      <c r="G127" s="135">
        <f t="shared" si="9"/>
        <v>20036.4</v>
      </c>
    </row>
    <row r="128" ht="14.25" customHeight="1">
      <c r="A128" s="131">
        <v>34.0</v>
      </c>
      <c r="B128" s="132">
        <v>47086.0</v>
      </c>
      <c r="C128" s="146"/>
      <c r="D128" s="135">
        <f t="shared" si="6"/>
        <v>200.4</v>
      </c>
      <c r="E128" s="135">
        <f t="shared" si="7"/>
        <v>392.9</v>
      </c>
      <c r="F128" s="133">
        <f t="shared" si="8"/>
        <v>593.3</v>
      </c>
      <c r="G128" s="135">
        <f t="shared" si="9"/>
        <v>19643.5</v>
      </c>
    </row>
    <row r="129" ht="14.25" customHeight="1">
      <c r="A129" s="131">
        <v>35.0</v>
      </c>
      <c r="B129" s="132">
        <v>47116.0</v>
      </c>
      <c r="C129" s="146"/>
      <c r="D129" s="135">
        <f t="shared" si="6"/>
        <v>196.4</v>
      </c>
      <c r="E129" s="135">
        <f t="shared" si="7"/>
        <v>392.9</v>
      </c>
      <c r="F129" s="133">
        <f t="shared" si="8"/>
        <v>589.3</v>
      </c>
      <c r="G129" s="135">
        <f t="shared" si="9"/>
        <v>19250.6</v>
      </c>
    </row>
    <row r="130" ht="14.25" customHeight="1">
      <c r="A130" s="131">
        <v>36.0</v>
      </c>
      <c r="B130" s="132">
        <v>47147.0</v>
      </c>
      <c r="C130" s="146"/>
      <c r="D130" s="135">
        <f t="shared" si="6"/>
        <v>192.5</v>
      </c>
      <c r="E130" s="135">
        <f t="shared" si="7"/>
        <v>392.9</v>
      </c>
      <c r="F130" s="133">
        <f t="shared" si="8"/>
        <v>585.4</v>
      </c>
      <c r="G130" s="135">
        <f t="shared" si="9"/>
        <v>18857.7</v>
      </c>
    </row>
    <row r="131" ht="14.25" customHeight="1">
      <c r="A131" s="131">
        <v>37.0</v>
      </c>
      <c r="B131" s="132">
        <v>47177.0</v>
      </c>
      <c r="C131" s="146"/>
      <c r="D131" s="135">
        <f t="shared" si="6"/>
        <v>188.6</v>
      </c>
      <c r="E131" s="135">
        <f t="shared" si="7"/>
        <v>392.9</v>
      </c>
      <c r="F131" s="133">
        <f t="shared" si="8"/>
        <v>581.5</v>
      </c>
      <c r="G131" s="135">
        <f t="shared" si="9"/>
        <v>18464.8</v>
      </c>
    </row>
    <row r="132" ht="14.25" customHeight="1">
      <c r="A132" s="131">
        <v>38.0</v>
      </c>
      <c r="B132" s="132">
        <v>47206.0</v>
      </c>
      <c r="C132" s="146"/>
      <c r="D132" s="135">
        <f t="shared" si="6"/>
        <v>184.6</v>
      </c>
      <c r="E132" s="135">
        <f t="shared" si="7"/>
        <v>392.9</v>
      </c>
      <c r="F132" s="133">
        <f t="shared" si="8"/>
        <v>577.5</v>
      </c>
      <c r="G132" s="135">
        <f t="shared" si="9"/>
        <v>18071.9</v>
      </c>
    </row>
    <row r="133" ht="14.25" customHeight="1">
      <c r="A133" s="131">
        <v>39.0</v>
      </c>
      <c r="B133" s="132">
        <v>47237.0</v>
      </c>
      <c r="C133" s="146"/>
      <c r="D133" s="135">
        <f t="shared" si="6"/>
        <v>180.7</v>
      </c>
      <c r="E133" s="135">
        <f t="shared" si="7"/>
        <v>392.9</v>
      </c>
      <c r="F133" s="133">
        <f t="shared" si="8"/>
        <v>573.6</v>
      </c>
      <c r="G133" s="135">
        <f t="shared" si="9"/>
        <v>17679</v>
      </c>
    </row>
    <row r="134" ht="14.25" customHeight="1">
      <c r="A134" s="131">
        <v>40.0</v>
      </c>
      <c r="B134" s="132">
        <v>47267.0</v>
      </c>
      <c r="C134" s="146"/>
      <c r="D134" s="135">
        <f t="shared" si="6"/>
        <v>176.8</v>
      </c>
      <c r="E134" s="135">
        <f t="shared" si="7"/>
        <v>392.9</v>
      </c>
      <c r="F134" s="133">
        <f t="shared" si="8"/>
        <v>569.7</v>
      </c>
      <c r="G134" s="135">
        <f t="shared" si="9"/>
        <v>17286.1</v>
      </c>
    </row>
    <row r="135" ht="14.25" customHeight="1">
      <c r="A135" s="131">
        <v>41.0</v>
      </c>
      <c r="B135" s="132">
        <v>47298.0</v>
      </c>
      <c r="C135" s="146"/>
      <c r="D135" s="135">
        <f t="shared" si="6"/>
        <v>172.9</v>
      </c>
      <c r="E135" s="135">
        <f t="shared" si="7"/>
        <v>392.9</v>
      </c>
      <c r="F135" s="133">
        <f t="shared" si="8"/>
        <v>565.8</v>
      </c>
      <c r="G135" s="135">
        <f t="shared" si="9"/>
        <v>16893.2</v>
      </c>
    </row>
    <row r="136" ht="14.25" customHeight="1">
      <c r="A136" s="131">
        <v>42.0</v>
      </c>
      <c r="B136" s="132">
        <v>47328.0</v>
      </c>
      <c r="C136" s="146"/>
      <c r="D136" s="135">
        <f t="shared" si="6"/>
        <v>168.9</v>
      </c>
      <c r="E136" s="135">
        <f t="shared" si="7"/>
        <v>392.9</v>
      </c>
      <c r="F136" s="133">
        <f t="shared" si="8"/>
        <v>561.8</v>
      </c>
      <c r="G136" s="135">
        <f t="shared" si="9"/>
        <v>16500.3</v>
      </c>
    </row>
    <row r="137" ht="14.25" customHeight="1">
      <c r="A137" s="131">
        <v>43.0</v>
      </c>
      <c r="B137" s="132">
        <v>47359.0</v>
      </c>
      <c r="C137" s="146"/>
      <c r="D137" s="135">
        <f t="shared" si="6"/>
        <v>165</v>
      </c>
      <c r="E137" s="135">
        <f t="shared" si="7"/>
        <v>392.9</v>
      </c>
      <c r="F137" s="133">
        <f t="shared" si="8"/>
        <v>557.9</v>
      </c>
      <c r="G137" s="135">
        <f t="shared" si="9"/>
        <v>16107.4</v>
      </c>
    </row>
    <row r="138" ht="14.25" customHeight="1">
      <c r="A138" s="131">
        <v>44.0</v>
      </c>
      <c r="B138" s="132">
        <v>47390.0</v>
      </c>
      <c r="C138" s="146"/>
      <c r="D138" s="135">
        <f t="shared" si="6"/>
        <v>161.1</v>
      </c>
      <c r="E138" s="135">
        <f t="shared" si="7"/>
        <v>392.9</v>
      </c>
      <c r="F138" s="133">
        <f t="shared" si="8"/>
        <v>554</v>
      </c>
      <c r="G138" s="135">
        <f t="shared" si="9"/>
        <v>15714.5</v>
      </c>
    </row>
    <row r="139" ht="14.25" customHeight="1">
      <c r="A139" s="131">
        <v>45.0</v>
      </c>
      <c r="B139" s="132">
        <v>47420.0</v>
      </c>
      <c r="C139" s="146"/>
      <c r="D139" s="135">
        <f t="shared" si="6"/>
        <v>157.1</v>
      </c>
      <c r="E139" s="135">
        <f t="shared" si="7"/>
        <v>392.9</v>
      </c>
      <c r="F139" s="133">
        <f t="shared" si="8"/>
        <v>550</v>
      </c>
      <c r="G139" s="135">
        <f t="shared" si="9"/>
        <v>15321.6</v>
      </c>
    </row>
    <row r="140" ht="14.25" customHeight="1">
      <c r="A140" s="131">
        <v>46.0</v>
      </c>
      <c r="B140" s="132">
        <v>47451.0</v>
      </c>
      <c r="C140" s="146"/>
      <c r="D140" s="135">
        <f t="shared" si="6"/>
        <v>153.2</v>
      </c>
      <c r="E140" s="135">
        <f t="shared" si="7"/>
        <v>392.9</v>
      </c>
      <c r="F140" s="133">
        <f t="shared" si="8"/>
        <v>546.1</v>
      </c>
      <c r="G140" s="135">
        <f t="shared" si="9"/>
        <v>14928.7</v>
      </c>
    </row>
    <row r="141" ht="14.25" customHeight="1">
      <c r="A141" s="131">
        <v>47.0</v>
      </c>
      <c r="B141" s="132">
        <v>47481.0</v>
      </c>
      <c r="C141" s="146"/>
      <c r="D141" s="135">
        <f t="shared" si="6"/>
        <v>149.3</v>
      </c>
      <c r="E141" s="135">
        <f t="shared" si="7"/>
        <v>392.9</v>
      </c>
      <c r="F141" s="133">
        <f t="shared" si="8"/>
        <v>542.2</v>
      </c>
      <c r="G141" s="135">
        <f t="shared" si="9"/>
        <v>14535.8</v>
      </c>
    </row>
    <row r="142" ht="14.25" customHeight="1">
      <c r="A142" s="131">
        <v>48.0</v>
      </c>
      <c r="B142" s="132">
        <v>47512.0</v>
      </c>
      <c r="C142" s="146"/>
      <c r="D142" s="135">
        <f t="shared" si="6"/>
        <v>145.4</v>
      </c>
      <c r="E142" s="135">
        <f t="shared" si="7"/>
        <v>392.9</v>
      </c>
      <c r="F142" s="133">
        <f t="shared" si="8"/>
        <v>538.3</v>
      </c>
      <c r="G142" s="135">
        <f t="shared" si="9"/>
        <v>14142.9</v>
      </c>
    </row>
    <row r="143" ht="14.25" customHeight="1">
      <c r="A143" s="131">
        <v>49.0</v>
      </c>
      <c r="B143" s="132">
        <v>47542.0</v>
      </c>
      <c r="C143" s="146"/>
      <c r="D143" s="135">
        <f t="shared" si="6"/>
        <v>141.4</v>
      </c>
      <c r="E143" s="135">
        <f t="shared" si="7"/>
        <v>392.9</v>
      </c>
      <c r="F143" s="133">
        <f t="shared" si="8"/>
        <v>534.3</v>
      </c>
      <c r="G143" s="135">
        <f t="shared" si="9"/>
        <v>13750</v>
      </c>
    </row>
    <row r="144" ht="14.25" customHeight="1">
      <c r="A144" s="131">
        <v>50.0</v>
      </c>
      <c r="B144" s="132">
        <v>47571.0</v>
      </c>
      <c r="C144" s="146"/>
      <c r="D144" s="135">
        <f t="shared" si="6"/>
        <v>137.5</v>
      </c>
      <c r="E144" s="135">
        <f t="shared" si="7"/>
        <v>392.9</v>
      </c>
      <c r="F144" s="133">
        <f t="shared" si="8"/>
        <v>530.4</v>
      </c>
      <c r="G144" s="135">
        <f t="shared" si="9"/>
        <v>13357.1</v>
      </c>
    </row>
    <row r="145" ht="14.25" customHeight="1">
      <c r="A145" s="131">
        <v>51.0</v>
      </c>
      <c r="B145" s="132">
        <v>47602.0</v>
      </c>
      <c r="C145" s="146"/>
      <c r="D145" s="135">
        <f t="shared" si="6"/>
        <v>133.6</v>
      </c>
      <c r="E145" s="135">
        <f t="shared" si="7"/>
        <v>392.9</v>
      </c>
      <c r="F145" s="133">
        <f t="shared" si="8"/>
        <v>526.5</v>
      </c>
      <c r="G145" s="135">
        <f t="shared" si="9"/>
        <v>12964.2</v>
      </c>
    </row>
    <row r="146" ht="14.25" customHeight="1">
      <c r="A146" s="131">
        <v>52.0</v>
      </c>
      <c r="B146" s="132">
        <v>47632.0</v>
      </c>
      <c r="C146" s="146"/>
      <c r="D146" s="135">
        <f t="shared" si="6"/>
        <v>129.6</v>
      </c>
      <c r="E146" s="135">
        <f t="shared" si="7"/>
        <v>392.9</v>
      </c>
      <c r="F146" s="133">
        <f t="shared" si="8"/>
        <v>522.5</v>
      </c>
      <c r="G146" s="135">
        <f t="shared" si="9"/>
        <v>12571.3</v>
      </c>
    </row>
    <row r="147" ht="14.25" customHeight="1">
      <c r="A147" s="131">
        <v>53.0</v>
      </c>
      <c r="B147" s="132">
        <v>47663.0</v>
      </c>
      <c r="C147" s="146"/>
      <c r="D147" s="135">
        <f t="shared" si="6"/>
        <v>125.7</v>
      </c>
      <c r="E147" s="135">
        <f t="shared" si="7"/>
        <v>392.9</v>
      </c>
      <c r="F147" s="133">
        <f t="shared" si="8"/>
        <v>518.6</v>
      </c>
      <c r="G147" s="135">
        <f t="shared" si="9"/>
        <v>12178.4</v>
      </c>
    </row>
    <row r="148" ht="14.25" customHeight="1">
      <c r="A148" s="131">
        <v>54.0</v>
      </c>
      <c r="B148" s="132">
        <v>47693.0</v>
      </c>
      <c r="C148" s="146"/>
      <c r="D148" s="135">
        <f t="shared" si="6"/>
        <v>121.8</v>
      </c>
      <c r="E148" s="135">
        <f t="shared" si="7"/>
        <v>392.9</v>
      </c>
      <c r="F148" s="133">
        <f t="shared" si="8"/>
        <v>514.7</v>
      </c>
      <c r="G148" s="135">
        <f t="shared" si="9"/>
        <v>11785.5</v>
      </c>
    </row>
    <row r="149" ht="14.25" customHeight="1">
      <c r="A149" s="131">
        <v>55.0</v>
      </c>
      <c r="B149" s="132">
        <v>47724.0</v>
      </c>
      <c r="C149" s="146"/>
      <c r="D149" s="135">
        <f t="shared" si="6"/>
        <v>117.9</v>
      </c>
      <c r="E149" s="135">
        <f t="shared" si="7"/>
        <v>392.9</v>
      </c>
      <c r="F149" s="133">
        <f t="shared" si="8"/>
        <v>510.8</v>
      </c>
      <c r="G149" s="135">
        <f t="shared" si="9"/>
        <v>11392.6</v>
      </c>
    </row>
    <row r="150" ht="14.25" customHeight="1">
      <c r="A150" s="131">
        <v>56.0</v>
      </c>
      <c r="B150" s="132">
        <v>47755.0</v>
      </c>
      <c r="C150" s="146"/>
      <c r="D150" s="135">
        <f t="shared" si="6"/>
        <v>113.9</v>
      </c>
      <c r="E150" s="135">
        <f t="shared" si="7"/>
        <v>392.9</v>
      </c>
      <c r="F150" s="133">
        <f t="shared" si="8"/>
        <v>506.8</v>
      </c>
      <c r="G150" s="135">
        <f t="shared" si="9"/>
        <v>10999.7</v>
      </c>
    </row>
    <row r="151" ht="14.25" customHeight="1">
      <c r="A151" s="131">
        <v>57.0</v>
      </c>
      <c r="B151" s="132">
        <v>47785.0</v>
      </c>
      <c r="C151" s="146"/>
      <c r="D151" s="135">
        <f t="shared" si="6"/>
        <v>110</v>
      </c>
      <c r="E151" s="135">
        <f t="shared" si="7"/>
        <v>392.9</v>
      </c>
      <c r="F151" s="133">
        <f t="shared" si="8"/>
        <v>502.9</v>
      </c>
      <c r="G151" s="135">
        <f t="shared" si="9"/>
        <v>10606.8</v>
      </c>
    </row>
    <row r="152" ht="14.25" customHeight="1">
      <c r="A152" s="131">
        <v>58.0</v>
      </c>
      <c r="B152" s="132">
        <v>47816.0</v>
      </c>
      <c r="C152" s="146"/>
      <c r="D152" s="135">
        <f t="shared" si="6"/>
        <v>106.1</v>
      </c>
      <c r="E152" s="135">
        <f t="shared" si="7"/>
        <v>392.9</v>
      </c>
      <c r="F152" s="133">
        <f t="shared" si="8"/>
        <v>499</v>
      </c>
      <c r="G152" s="135">
        <f t="shared" si="9"/>
        <v>10213.9</v>
      </c>
    </row>
    <row r="153" ht="14.25" customHeight="1">
      <c r="A153" s="131">
        <v>59.0</v>
      </c>
      <c r="B153" s="132">
        <v>47846.0</v>
      </c>
      <c r="C153" s="146"/>
      <c r="D153" s="135">
        <f t="shared" si="6"/>
        <v>102.1</v>
      </c>
      <c r="E153" s="135">
        <f t="shared" si="7"/>
        <v>392.9</v>
      </c>
      <c r="F153" s="133">
        <f t="shared" si="8"/>
        <v>495</v>
      </c>
      <c r="G153" s="135">
        <f t="shared" si="9"/>
        <v>9821</v>
      </c>
    </row>
    <row r="154" ht="14.25" customHeight="1">
      <c r="A154" s="131">
        <v>60.0</v>
      </c>
      <c r="B154" s="132">
        <v>47877.0</v>
      </c>
      <c r="C154" s="146"/>
      <c r="D154" s="135">
        <f t="shared" si="6"/>
        <v>98.2</v>
      </c>
      <c r="E154" s="135">
        <f t="shared" si="7"/>
        <v>392.9</v>
      </c>
      <c r="F154" s="133">
        <f t="shared" si="8"/>
        <v>491.1</v>
      </c>
      <c r="G154" s="135">
        <f t="shared" si="9"/>
        <v>9428.1</v>
      </c>
    </row>
    <row r="155" ht="14.25" customHeight="1">
      <c r="A155" s="131">
        <v>61.0</v>
      </c>
      <c r="B155" s="132">
        <v>47907.0</v>
      </c>
      <c r="C155" s="146"/>
      <c r="D155" s="135">
        <f t="shared" si="6"/>
        <v>94.3</v>
      </c>
      <c r="E155" s="135">
        <f t="shared" si="7"/>
        <v>392.9</v>
      </c>
      <c r="F155" s="133">
        <f t="shared" si="8"/>
        <v>487.2</v>
      </c>
      <c r="G155" s="135">
        <f t="shared" si="9"/>
        <v>9035.2</v>
      </c>
    </row>
    <row r="156" ht="14.25" customHeight="1">
      <c r="A156" s="131">
        <v>62.0</v>
      </c>
      <c r="B156" s="132">
        <v>47936.0</v>
      </c>
      <c r="C156" s="146"/>
      <c r="D156" s="135">
        <f t="shared" si="6"/>
        <v>90.4</v>
      </c>
      <c r="E156" s="135">
        <f t="shared" si="7"/>
        <v>392.9</v>
      </c>
      <c r="F156" s="133">
        <f t="shared" si="8"/>
        <v>483.3</v>
      </c>
      <c r="G156" s="135">
        <f t="shared" si="9"/>
        <v>8642.3</v>
      </c>
    </row>
    <row r="157" ht="14.25" customHeight="1">
      <c r="A157" s="131">
        <v>63.0</v>
      </c>
      <c r="B157" s="132">
        <v>47967.0</v>
      </c>
      <c r="C157" s="146"/>
      <c r="D157" s="135">
        <f t="shared" si="6"/>
        <v>86.4</v>
      </c>
      <c r="E157" s="135">
        <f t="shared" si="7"/>
        <v>392.9</v>
      </c>
      <c r="F157" s="133">
        <f t="shared" si="8"/>
        <v>479.3</v>
      </c>
      <c r="G157" s="135">
        <f t="shared" si="9"/>
        <v>8249.4</v>
      </c>
    </row>
    <row r="158" ht="14.25" customHeight="1">
      <c r="A158" s="131">
        <v>64.0</v>
      </c>
      <c r="B158" s="132">
        <v>47997.0</v>
      </c>
      <c r="C158" s="146"/>
      <c r="D158" s="135">
        <f t="shared" si="6"/>
        <v>82.5</v>
      </c>
      <c r="E158" s="135">
        <f t="shared" si="7"/>
        <v>392.9</v>
      </c>
      <c r="F158" s="133">
        <f t="shared" si="8"/>
        <v>475.4</v>
      </c>
      <c r="G158" s="135">
        <f t="shared" si="9"/>
        <v>7856.5</v>
      </c>
    </row>
    <row r="159" ht="14.25" customHeight="1">
      <c r="A159" s="131">
        <v>65.0</v>
      </c>
      <c r="B159" s="132">
        <v>48028.0</v>
      </c>
      <c r="C159" s="146"/>
      <c r="D159" s="135">
        <f t="shared" si="6"/>
        <v>78.6</v>
      </c>
      <c r="E159" s="135">
        <f t="shared" si="7"/>
        <v>392.9</v>
      </c>
      <c r="F159" s="133">
        <f t="shared" si="8"/>
        <v>471.5</v>
      </c>
      <c r="G159" s="135">
        <f t="shared" si="9"/>
        <v>7463.6</v>
      </c>
    </row>
    <row r="160" ht="14.25" customHeight="1">
      <c r="A160" s="131">
        <v>66.0</v>
      </c>
      <c r="B160" s="132">
        <v>48058.0</v>
      </c>
      <c r="C160" s="146"/>
      <c r="D160" s="135">
        <f t="shared" si="6"/>
        <v>74.6</v>
      </c>
      <c r="E160" s="135">
        <f t="shared" si="7"/>
        <v>392.9</v>
      </c>
      <c r="F160" s="133">
        <f t="shared" si="8"/>
        <v>467.5</v>
      </c>
      <c r="G160" s="135">
        <f t="shared" si="9"/>
        <v>7070.7</v>
      </c>
    </row>
    <row r="161" ht="14.25" customHeight="1">
      <c r="A161" s="131">
        <v>67.0</v>
      </c>
      <c r="B161" s="132">
        <v>48089.0</v>
      </c>
      <c r="C161" s="146"/>
      <c r="D161" s="135">
        <f t="shared" si="6"/>
        <v>70.7</v>
      </c>
      <c r="E161" s="135">
        <f t="shared" si="7"/>
        <v>392.9</v>
      </c>
      <c r="F161" s="133">
        <f t="shared" si="8"/>
        <v>463.6</v>
      </c>
      <c r="G161" s="135">
        <f t="shared" si="9"/>
        <v>6677.8</v>
      </c>
    </row>
    <row r="162" ht="14.25" customHeight="1">
      <c r="A162" s="131">
        <v>68.0</v>
      </c>
      <c r="B162" s="132">
        <v>48120.0</v>
      </c>
      <c r="C162" s="146"/>
      <c r="D162" s="135">
        <f t="shared" si="6"/>
        <v>66.8</v>
      </c>
      <c r="E162" s="135">
        <f t="shared" si="7"/>
        <v>392.9</v>
      </c>
      <c r="F162" s="133">
        <f t="shared" si="8"/>
        <v>459.7</v>
      </c>
      <c r="G162" s="135">
        <f t="shared" si="9"/>
        <v>6284.9</v>
      </c>
    </row>
    <row r="163" ht="14.25" customHeight="1">
      <c r="A163" s="131">
        <v>69.0</v>
      </c>
      <c r="B163" s="132">
        <v>48150.0</v>
      </c>
      <c r="C163" s="146"/>
      <c r="D163" s="135">
        <f t="shared" si="6"/>
        <v>62.8</v>
      </c>
      <c r="E163" s="135">
        <f t="shared" si="7"/>
        <v>392.9</v>
      </c>
      <c r="F163" s="133">
        <f t="shared" si="8"/>
        <v>455.7</v>
      </c>
      <c r="G163" s="135">
        <f t="shared" si="9"/>
        <v>5892</v>
      </c>
    </row>
    <row r="164" ht="14.25" customHeight="1">
      <c r="A164" s="131">
        <v>70.0</v>
      </c>
      <c r="B164" s="132">
        <v>48181.0</v>
      </c>
      <c r="C164" s="146"/>
      <c r="D164" s="135">
        <f t="shared" si="6"/>
        <v>58.9</v>
      </c>
      <c r="E164" s="135">
        <f t="shared" si="7"/>
        <v>392.9</v>
      </c>
      <c r="F164" s="133">
        <f t="shared" si="8"/>
        <v>451.8</v>
      </c>
      <c r="G164" s="135">
        <f t="shared" si="9"/>
        <v>5499.1</v>
      </c>
    </row>
    <row r="165" ht="14.25" customHeight="1">
      <c r="A165" s="131">
        <v>71.0</v>
      </c>
      <c r="B165" s="132">
        <v>48211.0</v>
      </c>
      <c r="C165" s="146"/>
      <c r="D165" s="135">
        <f t="shared" si="6"/>
        <v>55</v>
      </c>
      <c r="E165" s="135">
        <f t="shared" si="7"/>
        <v>392.9</v>
      </c>
      <c r="F165" s="133">
        <f t="shared" si="8"/>
        <v>447.9</v>
      </c>
      <c r="G165" s="135">
        <f t="shared" si="9"/>
        <v>5106.2</v>
      </c>
    </row>
    <row r="166" ht="14.25" customHeight="1">
      <c r="A166" s="131">
        <v>72.0</v>
      </c>
      <c r="B166" s="132">
        <v>48242.0</v>
      </c>
      <c r="C166" s="146"/>
      <c r="D166" s="135">
        <f t="shared" si="6"/>
        <v>51.1</v>
      </c>
      <c r="E166" s="135">
        <f t="shared" si="7"/>
        <v>392.9</v>
      </c>
      <c r="F166" s="133">
        <f t="shared" si="8"/>
        <v>444</v>
      </c>
      <c r="G166" s="135">
        <f t="shared" si="9"/>
        <v>4713.3</v>
      </c>
    </row>
    <row r="167" ht="14.25" customHeight="1">
      <c r="A167" s="131">
        <v>73.0</v>
      </c>
      <c r="B167" s="132">
        <v>48273.0</v>
      </c>
      <c r="C167" s="146"/>
      <c r="D167" s="135">
        <f t="shared" si="6"/>
        <v>47.1</v>
      </c>
      <c r="E167" s="135">
        <f t="shared" si="7"/>
        <v>392.9</v>
      </c>
      <c r="F167" s="133">
        <f t="shared" si="8"/>
        <v>440</v>
      </c>
      <c r="G167" s="135">
        <f t="shared" si="9"/>
        <v>4320.4</v>
      </c>
    </row>
    <row r="168" ht="14.25" customHeight="1">
      <c r="A168" s="131">
        <v>74.0</v>
      </c>
      <c r="B168" s="132">
        <v>48302.0</v>
      </c>
      <c r="C168" s="146"/>
      <c r="D168" s="135">
        <f t="shared" si="6"/>
        <v>43.2</v>
      </c>
      <c r="E168" s="135">
        <f t="shared" si="7"/>
        <v>392.9</v>
      </c>
      <c r="F168" s="133">
        <f t="shared" si="8"/>
        <v>436.1</v>
      </c>
      <c r="G168" s="135">
        <f t="shared" si="9"/>
        <v>3927.5</v>
      </c>
    </row>
    <row r="169" ht="14.25" customHeight="1">
      <c r="A169" s="131">
        <v>75.0</v>
      </c>
      <c r="B169" s="132">
        <v>48333.0</v>
      </c>
      <c r="C169" s="146"/>
      <c r="D169" s="135">
        <f t="shared" si="6"/>
        <v>39.3</v>
      </c>
      <c r="E169" s="135">
        <f t="shared" si="7"/>
        <v>392.9</v>
      </c>
      <c r="F169" s="133">
        <f t="shared" si="8"/>
        <v>432.2</v>
      </c>
      <c r="G169" s="135">
        <f t="shared" si="9"/>
        <v>3534.6</v>
      </c>
    </row>
    <row r="170" ht="14.25" customHeight="1">
      <c r="A170" s="131">
        <v>76.0</v>
      </c>
      <c r="B170" s="132">
        <v>48363.0</v>
      </c>
      <c r="C170" s="146"/>
      <c r="D170" s="135">
        <f t="shared" si="6"/>
        <v>35.3</v>
      </c>
      <c r="E170" s="135">
        <f t="shared" si="7"/>
        <v>392.9</v>
      </c>
      <c r="F170" s="133">
        <f t="shared" si="8"/>
        <v>428.2</v>
      </c>
      <c r="G170" s="135">
        <f t="shared" si="9"/>
        <v>3141.7</v>
      </c>
    </row>
    <row r="171" ht="14.25" customHeight="1">
      <c r="A171" s="131">
        <v>77.0</v>
      </c>
      <c r="B171" s="132">
        <v>48394.0</v>
      </c>
      <c r="C171" s="146"/>
      <c r="D171" s="135">
        <f t="shared" si="6"/>
        <v>31.4</v>
      </c>
      <c r="E171" s="135">
        <f t="shared" si="7"/>
        <v>392.9</v>
      </c>
      <c r="F171" s="133">
        <f t="shared" si="8"/>
        <v>424.3</v>
      </c>
      <c r="G171" s="135">
        <f t="shared" si="9"/>
        <v>2748.8</v>
      </c>
    </row>
    <row r="172" ht="14.25" customHeight="1">
      <c r="A172" s="131">
        <v>78.0</v>
      </c>
      <c r="B172" s="132">
        <v>48424.0</v>
      </c>
      <c r="C172" s="146"/>
      <c r="D172" s="135">
        <f t="shared" si="6"/>
        <v>27.5</v>
      </c>
      <c r="E172" s="135">
        <f t="shared" si="7"/>
        <v>392.9</v>
      </c>
      <c r="F172" s="133">
        <f t="shared" si="8"/>
        <v>420.4</v>
      </c>
      <c r="G172" s="135">
        <f t="shared" si="9"/>
        <v>2355.9</v>
      </c>
    </row>
    <row r="173" ht="14.25" customHeight="1">
      <c r="A173" s="131">
        <v>79.0</v>
      </c>
      <c r="B173" s="132">
        <v>48455.0</v>
      </c>
      <c r="C173" s="146"/>
      <c r="D173" s="135">
        <f t="shared" si="6"/>
        <v>23.6</v>
      </c>
      <c r="E173" s="135">
        <f t="shared" si="7"/>
        <v>392.9</v>
      </c>
      <c r="F173" s="133">
        <f t="shared" si="8"/>
        <v>416.5</v>
      </c>
      <c r="G173" s="135">
        <f t="shared" si="9"/>
        <v>1963</v>
      </c>
    </row>
    <row r="174" ht="14.25" customHeight="1">
      <c r="A174" s="131">
        <v>80.0</v>
      </c>
      <c r="B174" s="132">
        <v>48486.0</v>
      </c>
      <c r="C174" s="146"/>
      <c r="D174" s="135">
        <f t="shared" si="6"/>
        <v>19.6</v>
      </c>
      <c r="E174" s="135">
        <f t="shared" si="7"/>
        <v>392.9</v>
      </c>
      <c r="F174" s="133">
        <f t="shared" si="8"/>
        <v>412.5</v>
      </c>
      <c r="G174" s="135">
        <f t="shared" si="9"/>
        <v>1570.1</v>
      </c>
    </row>
    <row r="175" ht="14.25" customHeight="1">
      <c r="A175" s="131">
        <v>81.0</v>
      </c>
      <c r="B175" s="132">
        <v>48516.0</v>
      </c>
      <c r="C175" s="146"/>
      <c r="D175" s="135">
        <f t="shared" si="6"/>
        <v>15.7</v>
      </c>
      <c r="E175" s="135">
        <f t="shared" si="7"/>
        <v>392.9</v>
      </c>
      <c r="F175" s="133">
        <f t="shared" si="8"/>
        <v>408.6</v>
      </c>
      <c r="G175" s="135">
        <f t="shared" si="9"/>
        <v>1177.2</v>
      </c>
    </row>
    <row r="176" ht="14.25" customHeight="1">
      <c r="A176" s="131">
        <v>82.0</v>
      </c>
      <c r="B176" s="132">
        <v>48547.0</v>
      </c>
      <c r="C176" s="146"/>
      <c r="D176" s="135">
        <f t="shared" si="6"/>
        <v>11.8</v>
      </c>
      <c r="E176" s="135">
        <f t="shared" si="7"/>
        <v>392.9</v>
      </c>
      <c r="F176" s="133">
        <f t="shared" si="8"/>
        <v>404.7</v>
      </c>
      <c r="G176" s="135">
        <f t="shared" si="9"/>
        <v>784.3</v>
      </c>
    </row>
    <row r="177" ht="14.25" customHeight="1">
      <c r="A177" s="131">
        <v>83.0</v>
      </c>
      <c r="B177" s="132">
        <v>48577.0</v>
      </c>
      <c r="C177" s="146"/>
      <c r="D177" s="135">
        <f t="shared" si="6"/>
        <v>7.8</v>
      </c>
      <c r="E177" s="135">
        <f t="shared" si="7"/>
        <v>392.9</v>
      </c>
      <c r="F177" s="133">
        <f t="shared" si="8"/>
        <v>400.7</v>
      </c>
      <c r="G177" s="135">
        <f t="shared" si="9"/>
        <v>391.4</v>
      </c>
    </row>
    <row r="178" ht="14.25" customHeight="1">
      <c r="A178" s="131">
        <v>84.0</v>
      </c>
      <c r="B178" s="132">
        <v>48608.0</v>
      </c>
      <c r="C178" s="146"/>
      <c r="D178" s="135">
        <f t="shared" si="6"/>
        <v>3.9</v>
      </c>
      <c r="E178" s="135">
        <f>ROUND($C$94/84,1)-1.5</f>
        <v>391.4</v>
      </c>
      <c r="F178" s="133">
        <f t="shared" si="8"/>
        <v>395.3</v>
      </c>
      <c r="G178" s="135">
        <f t="shared" si="9"/>
        <v>0</v>
      </c>
    </row>
    <row r="179" ht="14.25" customHeight="1">
      <c r="A179" s="129" t="s">
        <v>252</v>
      </c>
      <c r="B179" s="2"/>
      <c r="C179" s="3"/>
      <c r="D179" s="147">
        <f t="shared" ref="D179:F179" si="10">+SUM(D95:D178)</f>
        <v>14025.2</v>
      </c>
      <c r="E179" s="147">
        <f t="shared" si="10"/>
        <v>33002.1</v>
      </c>
      <c r="F179" s="147">
        <f t="shared" si="10"/>
        <v>47027.3</v>
      </c>
      <c r="G179" s="148"/>
    </row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G1"/>
    <mergeCell ref="A2:G2"/>
    <mergeCell ref="A89:C89"/>
    <mergeCell ref="A91:G91"/>
    <mergeCell ref="A92:G92"/>
    <mergeCell ref="A179:C179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363</v>
      </c>
      <c r="B1" s="2"/>
      <c r="C1" s="2"/>
      <c r="D1" s="2"/>
      <c r="E1" s="2"/>
      <c r="F1" s="2"/>
      <c r="G1" s="3"/>
    </row>
    <row r="2" ht="14.25" customHeight="1">
      <c r="A2" s="129" t="s">
        <v>364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45502.0</v>
      </c>
      <c r="C4" s="133">
        <f>+J7</f>
        <v>52358.2</v>
      </c>
      <c r="D4" s="134">
        <v>0.01</v>
      </c>
      <c r="E4" s="135"/>
      <c r="F4" s="135"/>
      <c r="G4" s="135">
        <f>+C4</f>
        <v>52358.2</v>
      </c>
    </row>
    <row r="5" ht="14.25" customHeight="1">
      <c r="A5" s="136">
        <v>1.0</v>
      </c>
      <c r="B5" s="137">
        <v>45533.0</v>
      </c>
      <c r="C5" s="138"/>
      <c r="D5" s="138">
        <f t="shared" ref="D5:D76" si="1">+ROUND(G4*0.01,1)</f>
        <v>523.6</v>
      </c>
      <c r="E5" s="138">
        <f t="shared" ref="E5:E76" si="2">ROUNDUP($C$4/72,1)</f>
        <v>727.2</v>
      </c>
      <c r="F5" s="139">
        <f t="shared" ref="F5:F76" si="3">+ROUND(D5+E5,1)</f>
        <v>1250.8</v>
      </c>
      <c r="G5" s="138">
        <f t="shared" ref="G5:G76" si="4">+ROUND(G4-E5,1)</f>
        <v>51631</v>
      </c>
      <c r="I5" s="140" t="s">
        <v>209</v>
      </c>
      <c r="J5" s="141">
        <v>40010.4</v>
      </c>
    </row>
    <row r="6" ht="14.25" customHeight="1">
      <c r="A6" s="136">
        <v>2.0</v>
      </c>
      <c r="B6" s="137">
        <v>45564.0</v>
      </c>
      <c r="C6" s="144"/>
      <c r="D6" s="138">
        <f t="shared" si="1"/>
        <v>516.3</v>
      </c>
      <c r="E6" s="138">
        <f t="shared" si="2"/>
        <v>727.2</v>
      </c>
      <c r="F6" s="139">
        <f t="shared" si="3"/>
        <v>1243.5</v>
      </c>
      <c r="G6" s="138">
        <f t="shared" si="4"/>
        <v>50903.8</v>
      </c>
      <c r="I6" s="140" t="s">
        <v>257</v>
      </c>
      <c r="J6" s="141">
        <v>12347.8</v>
      </c>
    </row>
    <row r="7" ht="14.25" customHeight="1">
      <c r="A7" s="136">
        <v>3.0</v>
      </c>
      <c r="B7" s="137">
        <v>45594.0</v>
      </c>
      <c r="C7" s="144"/>
      <c r="D7" s="138">
        <f t="shared" si="1"/>
        <v>509</v>
      </c>
      <c r="E7" s="138">
        <f t="shared" si="2"/>
        <v>727.2</v>
      </c>
      <c r="F7" s="139">
        <f t="shared" si="3"/>
        <v>1236.2</v>
      </c>
      <c r="G7" s="138">
        <f t="shared" si="4"/>
        <v>50176.6</v>
      </c>
      <c r="I7" s="142" t="s">
        <v>252</v>
      </c>
      <c r="J7" s="143">
        <f>+SUM(J5:J6)</f>
        <v>52358.2</v>
      </c>
    </row>
    <row r="8" ht="14.25" customHeight="1">
      <c r="A8" s="136">
        <v>4.0</v>
      </c>
      <c r="B8" s="137">
        <v>45625.0</v>
      </c>
      <c r="C8" s="144"/>
      <c r="D8" s="138">
        <f t="shared" si="1"/>
        <v>501.8</v>
      </c>
      <c r="E8" s="138">
        <f t="shared" si="2"/>
        <v>727.2</v>
      </c>
      <c r="F8" s="139">
        <f t="shared" si="3"/>
        <v>1229</v>
      </c>
      <c r="G8" s="138">
        <f t="shared" si="4"/>
        <v>49449.4</v>
      </c>
    </row>
    <row r="9" ht="14.25" customHeight="1">
      <c r="A9" s="136">
        <v>5.0</v>
      </c>
      <c r="B9" s="137">
        <v>45655.0</v>
      </c>
      <c r="C9" s="144"/>
      <c r="D9" s="138">
        <f t="shared" si="1"/>
        <v>494.5</v>
      </c>
      <c r="E9" s="138">
        <f t="shared" si="2"/>
        <v>727.2</v>
      </c>
      <c r="F9" s="139">
        <f t="shared" si="3"/>
        <v>1221.7</v>
      </c>
      <c r="G9" s="138">
        <f t="shared" si="4"/>
        <v>48722.2</v>
      </c>
    </row>
    <row r="10" ht="14.25" customHeight="1">
      <c r="A10" s="136">
        <v>6.0</v>
      </c>
      <c r="B10" s="137">
        <v>45686.0</v>
      </c>
      <c r="C10" s="144"/>
      <c r="D10" s="138">
        <f t="shared" si="1"/>
        <v>487.2</v>
      </c>
      <c r="E10" s="138">
        <f t="shared" si="2"/>
        <v>727.2</v>
      </c>
      <c r="F10" s="139">
        <f t="shared" si="3"/>
        <v>1214.4</v>
      </c>
      <c r="G10" s="138">
        <f t="shared" si="4"/>
        <v>47995</v>
      </c>
    </row>
    <row r="11" ht="14.25" customHeight="1">
      <c r="A11" s="136">
        <v>7.0</v>
      </c>
      <c r="B11" s="137">
        <v>45716.0</v>
      </c>
      <c r="C11" s="144"/>
      <c r="D11" s="138">
        <f t="shared" si="1"/>
        <v>480</v>
      </c>
      <c r="E11" s="138">
        <f t="shared" si="2"/>
        <v>727.2</v>
      </c>
      <c r="F11" s="139">
        <f t="shared" si="3"/>
        <v>1207.2</v>
      </c>
      <c r="G11" s="138">
        <f t="shared" si="4"/>
        <v>47267.8</v>
      </c>
    </row>
    <row r="12" ht="14.25" customHeight="1">
      <c r="A12" s="136">
        <v>8.0</v>
      </c>
      <c r="B12" s="137">
        <v>45745.0</v>
      </c>
      <c r="C12" s="144"/>
      <c r="D12" s="138">
        <f t="shared" si="1"/>
        <v>472.7</v>
      </c>
      <c r="E12" s="138">
        <f t="shared" si="2"/>
        <v>727.2</v>
      </c>
      <c r="F12" s="139">
        <f t="shared" si="3"/>
        <v>1199.9</v>
      </c>
      <c r="G12" s="138">
        <f t="shared" si="4"/>
        <v>46540.6</v>
      </c>
    </row>
    <row r="13" ht="14.25" customHeight="1">
      <c r="A13" s="136">
        <v>9.0</v>
      </c>
      <c r="B13" s="137">
        <v>45776.0</v>
      </c>
      <c r="C13" s="144"/>
      <c r="D13" s="138">
        <f t="shared" si="1"/>
        <v>465.4</v>
      </c>
      <c r="E13" s="138">
        <f t="shared" si="2"/>
        <v>727.2</v>
      </c>
      <c r="F13" s="139">
        <f t="shared" si="3"/>
        <v>1192.6</v>
      </c>
      <c r="G13" s="138">
        <f t="shared" si="4"/>
        <v>45813.4</v>
      </c>
    </row>
    <row r="14" ht="14.25" customHeight="1">
      <c r="A14" s="136">
        <v>10.0</v>
      </c>
      <c r="B14" s="137">
        <v>45806.0</v>
      </c>
      <c r="C14" s="144"/>
      <c r="D14" s="138">
        <f t="shared" si="1"/>
        <v>458.1</v>
      </c>
      <c r="E14" s="138">
        <f t="shared" si="2"/>
        <v>727.2</v>
      </c>
      <c r="F14" s="139">
        <f t="shared" si="3"/>
        <v>1185.3</v>
      </c>
      <c r="G14" s="138">
        <f t="shared" si="4"/>
        <v>45086.2</v>
      </c>
    </row>
    <row r="15" ht="14.25" customHeight="1">
      <c r="A15" s="136">
        <v>11.0</v>
      </c>
      <c r="B15" s="137">
        <v>45837.0</v>
      </c>
      <c r="C15" s="144"/>
      <c r="D15" s="138">
        <f t="shared" si="1"/>
        <v>450.9</v>
      </c>
      <c r="E15" s="138">
        <f t="shared" si="2"/>
        <v>727.2</v>
      </c>
      <c r="F15" s="139">
        <f t="shared" si="3"/>
        <v>1178.1</v>
      </c>
      <c r="G15" s="138">
        <f t="shared" si="4"/>
        <v>44359</v>
      </c>
    </row>
    <row r="16" ht="14.25" customHeight="1">
      <c r="A16" s="136">
        <v>12.0</v>
      </c>
      <c r="B16" s="137">
        <v>45867.0</v>
      </c>
      <c r="C16" s="144"/>
      <c r="D16" s="138">
        <f t="shared" si="1"/>
        <v>443.6</v>
      </c>
      <c r="E16" s="138">
        <f t="shared" si="2"/>
        <v>727.2</v>
      </c>
      <c r="F16" s="139">
        <f t="shared" si="3"/>
        <v>1170.8</v>
      </c>
      <c r="G16" s="138">
        <f t="shared" si="4"/>
        <v>43631.8</v>
      </c>
    </row>
    <row r="17" ht="14.25" customHeight="1">
      <c r="A17" s="136">
        <v>13.0</v>
      </c>
      <c r="B17" s="137">
        <v>45898.0</v>
      </c>
      <c r="C17" s="144"/>
      <c r="D17" s="138">
        <f t="shared" si="1"/>
        <v>436.3</v>
      </c>
      <c r="E17" s="138">
        <f t="shared" si="2"/>
        <v>727.2</v>
      </c>
      <c r="F17" s="139">
        <f t="shared" si="3"/>
        <v>1163.5</v>
      </c>
      <c r="G17" s="138">
        <f t="shared" si="4"/>
        <v>42904.6</v>
      </c>
    </row>
    <row r="18" ht="14.25" customHeight="1">
      <c r="A18" s="136">
        <v>14.0</v>
      </c>
      <c r="B18" s="137">
        <v>45929.0</v>
      </c>
      <c r="C18" s="144"/>
      <c r="D18" s="138">
        <f t="shared" si="1"/>
        <v>429</v>
      </c>
      <c r="E18" s="138">
        <f t="shared" si="2"/>
        <v>727.2</v>
      </c>
      <c r="F18" s="139">
        <f t="shared" si="3"/>
        <v>1156.2</v>
      </c>
      <c r="G18" s="138">
        <f t="shared" si="4"/>
        <v>42177.4</v>
      </c>
    </row>
    <row r="19" ht="14.25" customHeight="1">
      <c r="A19" s="136">
        <v>15.0</v>
      </c>
      <c r="B19" s="137">
        <v>45959.0</v>
      </c>
      <c r="C19" s="145"/>
      <c r="D19" s="138">
        <f t="shared" si="1"/>
        <v>421.8</v>
      </c>
      <c r="E19" s="138">
        <f t="shared" si="2"/>
        <v>727.2</v>
      </c>
      <c r="F19" s="139">
        <f t="shared" si="3"/>
        <v>1149</v>
      </c>
      <c r="G19" s="138">
        <f t="shared" si="4"/>
        <v>41450.2</v>
      </c>
    </row>
    <row r="20" ht="14.25" customHeight="1">
      <c r="A20" s="136">
        <v>16.0</v>
      </c>
      <c r="B20" s="137">
        <v>45990.0</v>
      </c>
      <c r="C20" s="145"/>
      <c r="D20" s="138">
        <f t="shared" si="1"/>
        <v>414.5</v>
      </c>
      <c r="E20" s="138">
        <f t="shared" si="2"/>
        <v>727.2</v>
      </c>
      <c r="F20" s="139">
        <f t="shared" si="3"/>
        <v>1141.7</v>
      </c>
      <c r="G20" s="138">
        <f t="shared" si="4"/>
        <v>40723</v>
      </c>
    </row>
    <row r="21" ht="14.25" customHeight="1">
      <c r="A21" s="136">
        <v>17.0</v>
      </c>
      <c r="B21" s="137">
        <v>46020.0</v>
      </c>
      <c r="C21" s="145"/>
      <c r="D21" s="138">
        <f t="shared" si="1"/>
        <v>407.2</v>
      </c>
      <c r="E21" s="138">
        <f t="shared" si="2"/>
        <v>727.2</v>
      </c>
      <c r="F21" s="139">
        <f t="shared" si="3"/>
        <v>1134.4</v>
      </c>
      <c r="G21" s="138">
        <f t="shared" si="4"/>
        <v>39995.8</v>
      </c>
    </row>
    <row r="22" ht="14.25" customHeight="1">
      <c r="A22" s="131">
        <v>18.0</v>
      </c>
      <c r="B22" s="132">
        <v>46051.0</v>
      </c>
      <c r="C22" s="146"/>
      <c r="D22" s="135">
        <f t="shared" si="1"/>
        <v>400</v>
      </c>
      <c r="E22" s="135">
        <f t="shared" si="2"/>
        <v>727.2</v>
      </c>
      <c r="F22" s="133">
        <f t="shared" si="3"/>
        <v>1127.2</v>
      </c>
      <c r="G22" s="135">
        <f t="shared" si="4"/>
        <v>39268.6</v>
      </c>
    </row>
    <row r="23" ht="14.25" customHeight="1">
      <c r="A23" s="131">
        <v>19.0</v>
      </c>
      <c r="B23" s="132">
        <v>46081.0</v>
      </c>
      <c r="C23" s="146"/>
      <c r="D23" s="135">
        <f t="shared" si="1"/>
        <v>392.7</v>
      </c>
      <c r="E23" s="135">
        <f t="shared" si="2"/>
        <v>727.2</v>
      </c>
      <c r="F23" s="133">
        <f t="shared" si="3"/>
        <v>1119.9</v>
      </c>
      <c r="G23" s="135">
        <f t="shared" si="4"/>
        <v>38541.4</v>
      </c>
    </row>
    <row r="24" ht="14.25" customHeight="1">
      <c r="A24" s="131">
        <v>20.0</v>
      </c>
      <c r="B24" s="132">
        <v>46110.0</v>
      </c>
      <c r="C24" s="146"/>
      <c r="D24" s="135">
        <f t="shared" si="1"/>
        <v>385.4</v>
      </c>
      <c r="E24" s="135">
        <f t="shared" si="2"/>
        <v>727.2</v>
      </c>
      <c r="F24" s="133">
        <f t="shared" si="3"/>
        <v>1112.6</v>
      </c>
      <c r="G24" s="135">
        <f t="shared" si="4"/>
        <v>37814.2</v>
      </c>
    </row>
    <row r="25" ht="14.25" customHeight="1">
      <c r="A25" s="131">
        <v>21.0</v>
      </c>
      <c r="B25" s="132">
        <v>46141.0</v>
      </c>
      <c r="C25" s="146"/>
      <c r="D25" s="135">
        <f t="shared" si="1"/>
        <v>378.1</v>
      </c>
      <c r="E25" s="135">
        <f t="shared" si="2"/>
        <v>727.2</v>
      </c>
      <c r="F25" s="133">
        <f t="shared" si="3"/>
        <v>1105.3</v>
      </c>
      <c r="G25" s="135">
        <f t="shared" si="4"/>
        <v>37087</v>
      </c>
    </row>
    <row r="26" ht="14.25" customHeight="1">
      <c r="A26" s="131">
        <v>22.0</v>
      </c>
      <c r="B26" s="132">
        <v>46171.0</v>
      </c>
      <c r="C26" s="146"/>
      <c r="D26" s="135">
        <f t="shared" si="1"/>
        <v>370.9</v>
      </c>
      <c r="E26" s="135">
        <f t="shared" si="2"/>
        <v>727.2</v>
      </c>
      <c r="F26" s="133">
        <f t="shared" si="3"/>
        <v>1098.1</v>
      </c>
      <c r="G26" s="135">
        <f t="shared" si="4"/>
        <v>36359.8</v>
      </c>
    </row>
    <row r="27" ht="14.25" customHeight="1">
      <c r="A27" s="131">
        <v>23.0</v>
      </c>
      <c r="B27" s="132">
        <v>46202.0</v>
      </c>
      <c r="C27" s="146"/>
      <c r="D27" s="135">
        <f t="shared" si="1"/>
        <v>363.6</v>
      </c>
      <c r="E27" s="135">
        <f t="shared" si="2"/>
        <v>727.2</v>
      </c>
      <c r="F27" s="133">
        <f t="shared" si="3"/>
        <v>1090.8</v>
      </c>
      <c r="G27" s="135">
        <f t="shared" si="4"/>
        <v>35632.6</v>
      </c>
    </row>
    <row r="28" ht="14.25" customHeight="1">
      <c r="A28" s="131">
        <v>24.0</v>
      </c>
      <c r="B28" s="132">
        <v>46232.0</v>
      </c>
      <c r="C28" s="146"/>
      <c r="D28" s="135">
        <f t="shared" si="1"/>
        <v>356.3</v>
      </c>
      <c r="E28" s="135">
        <f t="shared" si="2"/>
        <v>727.2</v>
      </c>
      <c r="F28" s="133">
        <f t="shared" si="3"/>
        <v>1083.5</v>
      </c>
      <c r="G28" s="135">
        <f t="shared" si="4"/>
        <v>34905.4</v>
      </c>
    </row>
    <row r="29" ht="14.25" customHeight="1">
      <c r="A29" s="131">
        <v>25.0</v>
      </c>
      <c r="B29" s="132">
        <v>46263.0</v>
      </c>
      <c r="C29" s="146"/>
      <c r="D29" s="135">
        <f t="shared" si="1"/>
        <v>349.1</v>
      </c>
      <c r="E29" s="135">
        <f t="shared" si="2"/>
        <v>727.2</v>
      </c>
      <c r="F29" s="133">
        <f t="shared" si="3"/>
        <v>1076.3</v>
      </c>
      <c r="G29" s="135">
        <f t="shared" si="4"/>
        <v>34178.2</v>
      </c>
    </row>
    <row r="30" ht="14.25" customHeight="1">
      <c r="A30" s="131">
        <v>26.0</v>
      </c>
      <c r="B30" s="132">
        <v>46294.0</v>
      </c>
      <c r="C30" s="146"/>
      <c r="D30" s="135">
        <f t="shared" si="1"/>
        <v>341.8</v>
      </c>
      <c r="E30" s="135">
        <f t="shared" si="2"/>
        <v>727.2</v>
      </c>
      <c r="F30" s="133">
        <f t="shared" si="3"/>
        <v>1069</v>
      </c>
      <c r="G30" s="135">
        <f t="shared" si="4"/>
        <v>33451</v>
      </c>
    </row>
    <row r="31" ht="14.25" customHeight="1">
      <c r="A31" s="131">
        <v>27.0</v>
      </c>
      <c r="B31" s="132">
        <v>46324.0</v>
      </c>
      <c r="C31" s="146"/>
      <c r="D31" s="135">
        <f t="shared" si="1"/>
        <v>334.5</v>
      </c>
      <c r="E31" s="135">
        <f t="shared" si="2"/>
        <v>727.2</v>
      </c>
      <c r="F31" s="133">
        <f t="shared" si="3"/>
        <v>1061.7</v>
      </c>
      <c r="G31" s="135">
        <f t="shared" si="4"/>
        <v>32723.8</v>
      </c>
    </row>
    <row r="32" ht="14.25" customHeight="1">
      <c r="A32" s="131">
        <v>28.0</v>
      </c>
      <c r="B32" s="132">
        <v>46355.0</v>
      </c>
      <c r="C32" s="146"/>
      <c r="D32" s="135">
        <f t="shared" si="1"/>
        <v>327.2</v>
      </c>
      <c r="E32" s="135">
        <f t="shared" si="2"/>
        <v>727.2</v>
      </c>
      <c r="F32" s="133">
        <f t="shared" si="3"/>
        <v>1054.4</v>
      </c>
      <c r="G32" s="135">
        <f t="shared" si="4"/>
        <v>31996.6</v>
      </c>
    </row>
    <row r="33" ht="14.25" customHeight="1">
      <c r="A33" s="131">
        <v>29.0</v>
      </c>
      <c r="B33" s="132">
        <v>46385.0</v>
      </c>
      <c r="C33" s="146"/>
      <c r="D33" s="135">
        <f t="shared" si="1"/>
        <v>320</v>
      </c>
      <c r="E33" s="135">
        <f t="shared" si="2"/>
        <v>727.2</v>
      </c>
      <c r="F33" s="133">
        <f t="shared" si="3"/>
        <v>1047.2</v>
      </c>
      <c r="G33" s="135">
        <f t="shared" si="4"/>
        <v>31269.4</v>
      </c>
    </row>
    <row r="34" ht="14.25" customHeight="1">
      <c r="A34" s="131">
        <v>30.0</v>
      </c>
      <c r="B34" s="132">
        <v>46416.0</v>
      </c>
      <c r="C34" s="146"/>
      <c r="D34" s="135">
        <f t="shared" si="1"/>
        <v>312.7</v>
      </c>
      <c r="E34" s="135">
        <f t="shared" si="2"/>
        <v>727.2</v>
      </c>
      <c r="F34" s="133">
        <f t="shared" si="3"/>
        <v>1039.9</v>
      </c>
      <c r="G34" s="135">
        <f t="shared" si="4"/>
        <v>30542.2</v>
      </c>
    </row>
    <row r="35" ht="14.25" customHeight="1">
      <c r="A35" s="131">
        <v>31.0</v>
      </c>
      <c r="B35" s="132">
        <v>46446.0</v>
      </c>
      <c r="C35" s="146"/>
      <c r="D35" s="135">
        <f t="shared" si="1"/>
        <v>305.4</v>
      </c>
      <c r="E35" s="135">
        <f t="shared" si="2"/>
        <v>727.2</v>
      </c>
      <c r="F35" s="133">
        <f t="shared" si="3"/>
        <v>1032.6</v>
      </c>
      <c r="G35" s="135">
        <f t="shared" si="4"/>
        <v>29815</v>
      </c>
    </row>
    <row r="36" ht="14.25" customHeight="1">
      <c r="A36" s="131">
        <v>32.0</v>
      </c>
      <c r="B36" s="132">
        <v>46475.0</v>
      </c>
      <c r="C36" s="146"/>
      <c r="D36" s="135">
        <f t="shared" si="1"/>
        <v>298.2</v>
      </c>
      <c r="E36" s="135">
        <f t="shared" si="2"/>
        <v>727.2</v>
      </c>
      <c r="F36" s="133">
        <f t="shared" si="3"/>
        <v>1025.4</v>
      </c>
      <c r="G36" s="135">
        <f t="shared" si="4"/>
        <v>29087.8</v>
      </c>
    </row>
    <row r="37" ht="14.25" customHeight="1">
      <c r="A37" s="131">
        <v>33.0</v>
      </c>
      <c r="B37" s="132">
        <v>46506.0</v>
      </c>
      <c r="C37" s="146"/>
      <c r="D37" s="135">
        <f t="shared" si="1"/>
        <v>290.9</v>
      </c>
      <c r="E37" s="135">
        <f t="shared" si="2"/>
        <v>727.2</v>
      </c>
      <c r="F37" s="133">
        <f t="shared" si="3"/>
        <v>1018.1</v>
      </c>
      <c r="G37" s="135">
        <f t="shared" si="4"/>
        <v>28360.6</v>
      </c>
    </row>
    <row r="38" ht="14.25" customHeight="1">
      <c r="A38" s="131">
        <v>34.0</v>
      </c>
      <c r="B38" s="132">
        <v>46536.0</v>
      </c>
      <c r="C38" s="146"/>
      <c r="D38" s="135">
        <f t="shared" si="1"/>
        <v>283.6</v>
      </c>
      <c r="E38" s="135">
        <f t="shared" si="2"/>
        <v>727.2</v>
      </c>
      <c r="F38" s="133">
        <f t="shared" si="3"/>
        <v>1010.8</v>
      </c>
      <c r="G38" s="135">
        <f t="shared" si="4"/>
        <v>27633.4</v>
      </c>
    </row>
    <row r="39" ht="14.25" customHeight="1">
      <c r="A39" s="131">
        <v>35.0</v>
      </c>
      <c r="B39" s="132">
        <v>46567.0</v>
      </c>
      <c r="C39" s="146"/>
      <c r="D39" s="135">
        <f t="shared" si="1"/>
        <v>276.3</v>
      </c>
      <c r="E39" s="135">
        <f t="shared" si="2"/>
        <v>727.2</v>
      </c>
      <c r="F39" s="133">
        <f t="shared" si="3"/>
        <v>1003.5</v>
      </c>
      <c r="G39" s="135">
        <f t="shared" si="4"/>
        <v>26906.2</v>
      </c>
    </row>
    <row r="40" ht="14.25" customHeight="1">
      <c r="A40" s="131">
        <v>36.0</v>
      </c>
      <c r="B40" s="132">
        <v>46597.0</v>
      </c>
      <c r="C40" s="146"/>
      <c r="D40" s="135">
        <f t="shared" si="1"/>
        <v>269.1</v>
      </c>
      <c r="E40" s="135">
        <f t="shared" si="2"/>
        <v>727.2</v>
      </c>
      <c r="F40" s="133">
        <f t="shared" si="3"/>
        <v>996.3</v>
      </c>
      <c r="G40" s="135">
        <f t="shared" si="4"/>
        <v>26179</v>
      </c>
    </row>
    <row r="41" ht="14.25" customHeight="1">
      <c r="A41" s="131">
        <v>37.0</v>
      </c>
      <c r="B41" s="132">
        <v>46628.0</v>
      </c>
      <c r="C41" s="146"/>
      <c r="D41" s="135">
        <f t="shared" si="1"/>
        <v>261.8</v>
      </c>
      <c r="E41" s="135">
        <f t="shared" si="2"/>
        <v>727.2</v>
      </c>
      <c r="F41" s="133">
        <f t="shared" si="3"/>
        <v>989</v>
      </c>
      <c r="G41" s="135">
        <f t="shared" si="4"/>
        <v>25451.8</v>
      </c>
    </row>
    <row r="42" ht="14.25" customHeight="1">
      <c r="A42" s="131">
        <v>38.0</v>
      </c>
      <c r="B42" s="132">
        <v>46659.0</v>
      </c>
      <c r="C42" s="146"/>
      <c r="D42" s="135">
        <f t="shared" si="1"/>
        <v>254.5</v>
      </c>
      <c r="E42" s="135">
        <f t="shared" si="2"/>
        <v>727.2</v>
      </c>
      <c r="F42" s="133">
        <f t="shared" si="3"/>
        <v>981.7</v>
      </c>
      <c r="G42" s="135">
        <f t="shared" si="4"/>
        <v>24724.6</v>
      </c>
    </row>
    <row r="43" ht="14.25" customHeight="1">
      <c r="A43" s="131">
        <v>39.0</v>
      </c>
      <c r="B43" s="132">
        <v>46689.0</v>
      </c>
      <c r="C43" s="146"/>
      <c r="D43" s="135">
        <f t="shared" si="1"/>
        <v>247.2</v>
      </c>
      <c r="E43" s="135">
        <f t="shared" si="2"/>
        <v>727.2</v>
      </c>
      <c r="F43" s="133">
        <f t="shared" si="3"/>
        <v>974.4</v>
      </c>
      <c r="G43" s="135">
        <f t="shared" si="4"/>
        <v>23997.4</v>
      </c>
    </row>
    <row r="44" ht="14.25" customHeight="1">
      <c r="A44" s="131">
        <v>40.0</v>
      </c>
      <c r="B44" s="132">
        <v>46720.0</v>
      </c>
      <c r="C44" s="146"/>
      <c r="D44" s="135">
        <f t="shared" si="1"/>
        <v>240</v>
      </c>
      <c r="E44" s="135">
        <f t="shared" si="2"/>
        <v>727.2</v>
      </c>
      <c r="F44" s="133">
        <f t="shared" si="3"/>
        <v>967.2</v>
      </c>
      <c r="G44" s="135">
        <f t="shared" si="4"/>
        <v>23270.2</v>
      </c>
    </row>
    <row r="45" ht="14.25" customHeight="1">
      <c r="A45" s="131">
        <v>41.0</v>
      </c>
      <c r="B45" s="132">
        <v>46750.0</v>
      </c>
      <c r="C45" s="146"/>
      <c r="D45" s="135">
        <f t="shared" si="1"/>
        <v>232.7</v>
      </c>
      <c r="E45" s="135">
        <f t="shared" si="2"/>
        <v>727.2</v>
      </c>
      <c r="F45" s="133">
        <f t="shared" si="3"/>
        <v>959.9</v>
      </c>
      <c r="G45" s="135">
        <f t="shared" si="4"/>
        <v>22543</v>
      </c>
    </row>
    <row r="46" ht="14.25" customHeight="1">
      <c r="A46" s="131">
        <v>42.0</v>
      </c>
      <c r="B46" s="132">
        <v>46781.0</v>
      </c>
      <c r="C46" s="146"/>
      <c r="D46" s="135">
        <f t="shared" si="1"/>
        <v>225.4</v>
      </c>
      <c r="E46" s="135">
        <f t="shared" si="2"/>
        <v>727.2</v>
      </c>
      <c r="F46" s="133">
        <f t="shared" si="3"/>
        <v>952.6</v>
      </c>
      <c r="G46" s="135">
        <f t="shared" si="4"/>
        <v>21815.8</v>
      </c>
    </row>
    <row r="47" ht="14.25" customHeight="1">
      <c r="A47" s="131">
        <v>43.0</v>
      </c>
      <c r="B47" s="132">
        <v>46812.0</v>
      </c>
      <c r="C47" s="146"/>
      <c r="D47" s="135">
        <f t="shared" si="1"/>
        <v>218.2</v>
      </c>
      <c r="E47" s="135">
        <f t="shared" si="2"/>
        <v>727.2</v>
      </c>
      <c r="F47" s="133">
        <f t="shared" si="3"/>
        <v>945.4</v>
      </c>
      <c r="G47" s="135">
        <f t="shared" si="4"/>
        <v>21088.6</v>
      </c>
    </row>
    <row r="48" ht="14.25" customHeight="1">
      <c r="A48" s="131">
        <v>44.0</v>
      </c>
      <c r="B48" s="132">
        <v>46841.0</v>
      </c>
      <c r="C48" s="146"/>
      <c r="D48" s="135">
        <f t="shared" si="1"/>
        <v>210.9</v>
      </c>
      <c r="E48" s="135">
        <f t="shared" si="2"/>
        <v>727.2</v>
      </c>
      <c r="F48" s="133">
        <f t="shared" si="3"/>
        <v>938.1</v>
      </c>
      <c r="G48" s="135">
        <f t="shared" si="4"/>
        <v>20361.4</v>
      </c>
    </row>
    <row r="49" ht="14.25" customHeight="1">
      <c r="A49" s="131">
        <v>45.0</v>
      </c>
      <c r="B49" s="132">
        <v>46872.0</v>
      </c>
      <c r="C49" s="146"/>
      <c r="D49" s="135">
        <f t="shared" si="1"/>
        <v>203.6</v>
      </c>
      <c r="E49" s="135">
        <f t="shared" si="2"/>
        <v>727.2</v>
      </c>
      <c r="F49" s="133">
        <f t="shared" si="3"/>
        <v>930.8</v>
      </c>
      <c r="G49" s="135">
        <f t="shared" si="4"/>
        <v>19634.2</v>
      </c>
    </row>
    <row r="50" ht="14.25" customHeight="1">
      <c r="A50" s="131">
        <v>46.0</v>
      </c>
      <c r="B50" s="132">
        <v>46902.0</v>
      </c>
      <c r="C50" s="146"/>
      <c r="D50" s="135">
        <f t="shared" si="1"/>
        <v>196.3</v>
      </c>
      <c r="E50" s="135">
        <f t="shared" si="2"/>
        <v>727.2</v>
      </c>
      <c r="F50" s="133">
        <f t="shared" si="3"/>
        <v>923.5</v>
      </c>
      <c r="G50" s="135">
        <f t="shared" si="4"/>
        <v>18907</v>
      </c>
    </row>
    <row r="51" ht="14.25" customHeight="1">
      <c r="A51" s="131">
        <v>47.0</v>
      </c>
      <c r="B51" s="132">
        <v>46933.0</v>
      </c>
      <c r="C51" s="146"/>
      <c r="D51" s="135">
        <f t="shared" si="1"/>
        <v>189.1</v>
      </c>
      <c r="E51" s="135">
        <f t="shared" si="2"/>
        <v>727.2</v>
      </c>
      <c r="F51" s="133">
        <f t="shared" si="3"/>
        <v>916.3</v>
      </c>
      <c r="G51" s="135">
        <f t="shared" si="4"/>
        <v>18179.8</v>
      </c>
    </row>
    <row r="52" ht="14.25" customHeight="1">
      <c r="A52" s="131">
        <v>48.0</v>
      </c>
      <c r="B52" s="132">
        <v>46963.0</v>
      </c>
      <c r="C52" s="146"/>
      <c r="D52" s="135">
        <f t="shared" si="1"/>
        <v>181.8</v>
      </c>
      <c r="E52" s="135">
        <f t="shared" si="2"/>
        <v>727.2</v>
      </c>
      <c r="F52" s="133">
        <f t="shared" si="3"/>
        <v>909</v>
      </c>
      <c r="G52" s="135">
        <f t="shared" si="4"/>
        <v>17452.6</v>
      </c>
    </row>
    <row r="53" ht="14.25" customHeight="1">
      <c r="A53" s="131">
        <v>49.0</v>
      </c>
      <c r="B53" s="132">
        <v>46994.0</v>
      </c>
      <c r="C53" s="146"/>
      <c r="D53" s="135">
        <f t="shared" si="1"/>
        <v>174.5</v>
      </c>
      <c r="E53" s="135">
        <f t="shared" si="2"/>
        <v>727.2</v>
      </c>
      <c r="F53" s="133">
        <f t="shared" si="3"/>
        <v>901.7</v>
      </c>
      <c r="G53" s="135">
        <f t="shared" si="4"/>
        <v>16725.4</v>
      </c>
    </row>
    <row r="54" ht="14.25" customHeight="1">
      <c r="A54" s="131">
        <v>50.0</v>
      </c>
      <c r="B54" s="132">
        <v>47025.0</v>
      </c>
      <c r="C54" s="146"/>
      <c r="D54" s="135">
        <f t="shared" si="1"/>
        <v>167.3</v>
      </c>
      <c r="E54" s="135">
        <f t="shared" si="2"/>
        <v>727.2</v>
      </c>
      <c r="F54" s="133">
        <f t="shared" si="3"/>
        <v>894.5</v>
      </c>
      <c r="G54" s="135">
        <f t="shared" si="4"/>
        <v>15998.2</v>
      </c>
    </row>
    <row r="55" ht="14.25" customHeight="1">
      <c r="A55" s="131">
        <v>51.0</v>
      </c>
      <c r="B55" s="132">
        <v>47055.0</v>
      </c>
      <c r="C55" s="146"/>
      <c r="D55" s="135">
        <f t="shared" si="1"/>
        <v>160</v>
      </c>
      <c r="E55" s="135">
        <f t="shared" si="2"/>
        <v>727.2</v>
      </c>
      <c r="F55" s="133">
        <f t="shared" si="3"/>
        <v>887.2</v>
      </c>
      <c r="G55" s="135">
        <f t="shared" si="4"/>
        <v>15271</v>
      </c>
    </row>
    <row r="56" ht="14.25" customHeight="1">
      <c r="A56" s="131">
        <v>52.0</v>
      </c>
      <c r="B56" s="132">
        <v>47086.0</v>
      </c>
      <c r="C56" s="146"/>
      <c r="D56" s="135">
        <f t="shared" si="1"/>
        <v>152.7</v>
      </c>
      <c r="E56" s="135">
        <f t="shared" si="2"/>
        <v>727.2</v>
      </c>
      <c r="F56" s="133">
        <f t="shared" si="3"/>
        <v>879.9</v>
      </c>
      <c r="G56" s="135">
        <f t="shared" si="4"/>
        <v>14543.8</v>
      </c>
    </row>
    <row r="57" ht="14.25" customHeight="1">
      <c r="A57" s="131">
        <v>53.0</v>
      </c>
      <c r="B57" s="132">
        <v>47116.0</v>
      </c>
      <c r="C57" s="146"/>
      <c r="D57" s="135">
        <f t="shared" si="1"/>
        <v>145.4</v>
      </c>
      <c r="E57" s="135">
        <f t="shared" si="2"/>
        <v>727.2</v>
      </c>
      <c r="F57" s="133">
        <f t="shared" si="3"/>
        <v>872.6</v>
      </c>
      <c r="G57" s="135">
        <f t="shared" si="4"/>
        <v>13816.6</v>
      </c>
    </row>
    <row r="58" ht="14.25" customHeight="1">
      <c r="A58" s="131">
        <v>54.0</v>
      </c>
      <c r="B58" s="132">
        <v>47147.0</v>
      </c>
      <c r="C58" s="146"/>
      <c r="D58" s="135">
        <f t="shared" si="1"/>
        <v>138.2</v>
      </c>
      <c r="E58" s="135">
        <f t="shared" si="2"/>
        <v>727.2</v>
      </c>
      <c r="F58" s="133">
        <f t="shared" si="3"/>
        <v>865.4</v>
      </c>
      <c r="G58" s="135">
        <f t="shared" si="4"/>
        <v>13089.4</v>
      </c>
    </row>
    <row r="59" ht="14.25" customHeight="1">
      <c r="A59" s="131">
        <v>55.0</v>
      </c>
      <c r="B59" s="132">
        <v>47177.0</v>
      </c>
      <c r="C59" s="146"/>
      <c r="D59" s="135">
        <f t="shared" si="1"/>
        <v>130.9</v>
      </c>
      <c r="E59" s="135">
        <f t="shared" si="2"/>
        <v>727.2</v>
      </c>
      <c r="F59" s="133">
        <f t="shared" si="3"/>
        <v>858.1</v>
      </c>
      <c r="G59" s="135">
        <f t="shared" si="4"/>
        <v>12362.2</v>
      </c>
    </row>
    <row r="60" ht="14.25" customHeight="1">
      <c r="A60" s="131">
        <v>56.0</v>
      </c>
      <c r="B60" s="132">
        <v>47206.0</v>
      </c>
      <c r="C60" s="146"/>
      <c r="D60" s="135">
        <f t="shared" si="1"/>
        <v>123.6</v>
      </c>
      <c r="E60" s="135">
        <f t="shared" si="2"/>
        <v>727.2</v>
      </c>
      <c r="F60" s="133">
        <f t="shared" si="3"/>
        <v>850.8</v>
      </c>
      <c r="G60" s="135">
        <f t="shared" si="4"/>
        <v>11635</v>
      </c>
    </row>
    <row r="61" ht="14.25" customHeight="1">
      <c r="A61" s="131">
        <v>57.0</v>
      </c>
      <c r="B61" s="132">
        <v>47237.0</v>
      </c>
      <c r="C61" s="146"/>
      <c r="D61" s="135">
        <f t="shared" si="1"/>
        <v>116.4</v>
      </c>
      <c r="E61" s="135">
        <f t="shared" si="2"/>
        <v>727.2</v>
      </c>
      <c r="F61" s="133">
        <f t="shared" si="3"/>
        <v>843.6</v>
      </c>
      <c r="G61" s="135">
        <f t="shared" si="4"/>
        <v>10907.8</v>
      </c>
    </row>
    <row r="62" ht="14.25" customHeight="1">
      <c r="A62" s="131">
        <v>58.0</v>
      </c>
      <c r="B62" s="132">
        <v>47267.0</v>
      </c>
      <c r="C62" s="146"/>
      <c r="D62" s="135">
        <f t="shared" si="1"/>
        <v>109.1</v>
      </c>
      <c r="E62" s="135">
        <f t="shared" si="2"/>
        <v>727.2</v>
      </c>
      <c r="F62" s="133">
        <f t="shared" si="3"/>
        <v>836.3</v>
      </c>
      <c r="G62" s="135">
        <f t="shared" si="4"/>
        <v>10180.6</v>
      </c>
    </row>
    <row r="63" ht="14.25" customHeight="1">
      <c r="A63" s="131">
        <v>59.0</v>
      </c>
      <c r="B63" s="132">
        <v>47298.0</v>
      </c>
      <c r="C63" s="146"/>
      <c r="D63" s="135">
        <f t="shared" si="1"/>
        <v>101.8</v>
      </c>
      <c r="E63" s="135">
        <f t="shared" si="2"/>
        <v>727.2</v>
      </c>
      <c r="F63" s="133">
        <f t="shared" si="3"/>
        <v>829</v>
      </c>
      <c r="G63" s="135">
        <f t="shared" si="4"/>
        <v>9453.4</v>
      </c>
    </row>
    <row r="64" ht="14.25" customHeight="1">
      <c r="A64" s="131">
        <v>60.0</v>
      </c>
      <c r="B64" s="132">
        <v>47328.0</v>
      </c>
      <c r="C64" s="146"/>
      <c r="D64" s="135">
        <f t="shared" si="1"/>
        <v>94.5</v>
      </c>
      <c r="E64" s="135">
        <f t="shared" si="2"/>
        <v>727.2</v>
      </c>
      <c r="F64" s="133">
        <f t="shared" si="3"/>
        <v>821.7</v>
      </c>
      <c r="G64" s="135">
        <f t="shared" si="4"/>
        <v>8726.2</v>
      </c>
    </row>
    <row r="65" ht="14.25" customHeight="1">
      <c r="A65" s="131">
        <v>61.0</v>
      </c>
      <c r="B65" s="132">
        <v>47359.0</v>
      </c>
      <c r="C65" s="146"/>
      <c r="D65" s="135">
        <f t="shared" si="1"/>
        <v>87.3</v>
      </c>
      <c r="E65" s="135">
        <f t="shared" si="2"/>
        <v>727.2</v>
      </c>
      <c r="F65" s="133">
        <f t="shared" si="3"/>
        <v>814.5</v>
      </c>
      <c r="G65" s="135">
        <f t="shared" si="4"/>
        <v>7999</v>
      </c>
    </row>
    <row r="66" ht="14.25" customHeight="1">
      <c r="A66" s="131">
        <v>62.0</v>
      </c>
      <c r="B66" s="132">
        <v>47390.0</v>
      </c>
      <c r="C66" s="146"/>
      <c r="D66" s="135">
        <f t="shared" si="1"/>
        <v>80</v>
      </c>
      <c r="E66" s="135">
        <f t="shared" si="2"/>
        <v>727.2</v>
      </c>
      <c r="F66" s="133">
        <f t="shared" si="3"/>
        <v>807.2</v>
      </c>
      <c r="G66" s="135">
        <f t="shared" si="4"/>
        <v>7271.8</v>
      </c>
    </row>
    <row r="67" ht="14.25" customHeight="1">
      <c r="A67" s="131">
        <v>63.0</v>
      </c>
      <c r="B67" s="132">
        <v>47420.0</v>
      </c>
      <c r="C67" s="146"/>
      <c r="D67" s="135">
        <f t="shared" si="1"/>
        <v>72.7</v>
      </c>
      <c r="E67" s="135">
        <f t="shared" si="2"/>
        <v>727.2</v>
      </c>
      <c r="F67" s="133">
        <f t="shared" si="3"/>
        <v>799.9</v>
      </c>
      <c r="G67" s="135">
        <f t="shared" si="4"/>
        <v>6544.6</v>
      </c>
    </row>
    <row r="68" ht="14.25" customHeight="1">
      <c r="A68" s="131">
        <v>64.0</v>
      </c>
      <c r="B68" s="132">
        <v>47451.0</v>
      </c>
      <c r="C68" s="146"/>
      <c r="D68" s="135">
        <f t="shared" si="1"/>
        <v>65.4</v>
      </c>
      <c r="E68" s="135">
        <f t="shared" si="2"/>
        <v>727.2</v>
      </c>
      <c r="F68" s="133">
        <f t="shared" si="3"/>
        <v>792.6</v>
      </c>
      <c r="G68" s="135">
        <f t="shared" si="4"/>
        <v>5817.4</v>
      </c>
    </row>
    <row r="69" ht="14.25" customHeight="1">
      <c r="A69" s="131">
        <v>65.0</v>
      </c>
      <c r="B69" s="132">
        <v>47481.0</v>
      </c>
      <c r="C69" s="146"/>
      <c r="D69" s="135">
        <f t="shared" si="1"/>
        <v>58.2</v>
      </c>
      <c r="E69" s="135">
        <f t="shared" si="2"/>
        <v>727.2</v>
      </c>
      <c r="F69" s="133">
        <f t="shared" si="3"/>
        <v>785.4</v>
      </c>
      <c r="G69" s="135">
        <f t="shared" si="4"/>
        <v>5090.2</v>
      </c>
    </row>
    <row r="70" ht="14.25" customHeight="1">
      <c r="A70" s="131">
        <v>66.0</v>
      </c>
      <c r="B70" s="132">
        <v>47512.0</v>
      </c>
      <c r="C70" s="146"/>
      <c r="D70" s="135">
        <f t="shared" si="1"/>
        <v>50.9</v>
      </c>
      <c r="E70" s="135">
        <f t="shared" si="2"/>
        <v>727.2</v>
      </c>
      <c r="F70" s="133">
        <f t="shared" si="3"/>
        <v>778.1</v>
      </c>
      <c r="G70" s="135">
        <f t="shared" si="4"/>
        <v>4363</v>
      </c>
    </row>
    <row r="71" ht="14.25" customHeight="1">
      <c r="A71" s="131">
        <v>67.0</v>
      </c>
      <c r="B71" s="132">
        <v>47542.0</v>
      </c>
      <c r="C71" s="146"/>
      <c r="D71" s="135">
        <f t="shared" si="1"/>
        <v>43.6</v>
      </c>
      <c r="E71" s="135">
        <f t="shared" si="2"/>
        <v>727.2</v>
      </c>
      <c r="F71" s="133">
        <f t="shared" si="3"/>
        <v>770.8</v>
      </c>
      <c r="G71" s="135">
        <f t="shared" si="4"/>
        <v>3635.8</v>
      </c>
    </row>
    <row r="72" ht="14.25" customHeight="1">
      <c r="A72" s="131">
        <v>68.0</v>
      </c>
      <c r="B72" s="132">
        <v>47571.0</v>
      </c>
      <c r="C72" s="146"/>
      <c r="D72" s="135">
        <f t="shared" si="1"/>
        <v>36.4</v>
      </c>
      <c r="E72" s="135">
        <f t="shared" si="2"/>
        <v>727.2</v>
      </c>
      <c r="F72" s="133">
        <f t="shared" si="3"/>
        <v>763.6</v>
      </c>
      <c r="G72" s="135">
        <f t="shared" si="4"/>
        <v>2908.6</v>
      </c>
    </row>
    <row r="73" ht="14.25" customHeight="1">
      <c r="A73" s="131">
        <v>69.0</v>
      </c>
      <c r="B73" s="132">
        <v>47602.0</v>
      </c>
      <c r="C73" s="146"/>
      <c r="D73" s="135">
        <f t="shared" si="1"/>
        <v>29.1</v>
      </c>
      <c r="E73" s="135">
        <f t="shared" si="2"/>
        <v>727.2</v>
      </c>
      <c r="F73" s="133">
        <f t="shared" si="3"/>
        <v>756.3</v>
      </c>
      <c r="G73" s="135">
        <f t="shared" si="4"/>
        <v>2181.4</v>
      </c>
    </row>
    <row r="74" ht="14.25" customHeight="1">
      <c r="A74" s="131">
        <v>70.0</v>
      </c>
      <c r="B74" s="132">
        <v>47632.0</v>
      </c>
      <c r="C74" s="146"/>
      <c r="D74" s="135">
        <f t="shared" si="1"/>
        <v>21.8</v>
      </c>
      <c r="E74" s="135">
        <f t="shared" si="2"/>
        <v>727.2</v>
      </c>
      <c r="F74" s="133">
        <f t="shared" si="3"/>
        <v>749</v>
      </c>
      <c r="G74" s="135">
        <f t="shared" si="4"/>
        <v>1454.2</v>
      </c>
    </row>
    <row r="75" ht="14.25" customHeight="1">
      <c r="A75" s="131">
        <v>71.0</v>
      </c>
      <c r="B75" s="132">
        <v>47663.0</v>
      </c>
      <c r="C75" s="146"/>
      <c r="D75" s="135">
        <f t="shared" si="1"/>
        <v>14.5</v>
      </c>
      <c r="E75" s="135">
        <f t="shared" si="2"/>
        <v>727.2</v>
      </c>
      <c r="F75" s="133">
        <f t="shared" si="3"/>
        <v>741.7</v>
      </c>
      <c r="G75" s="135">
        <f t="shared" si="4"/>
        <v>727</v>
      </c>
    </row>
    <row r="76" ht="14.25" customHeight="1">
      <c r="A76" s="131">
        <v>72.0</v>
      </c>
      <c r="B76" s="132">
        <v>47693.0</v>
      </c>
      <c r="C76" s="146"/>
      <c r="D76" s="135">
        <f t="shared" si="1"/>
        <v>7.3</v>
      </c>
      <c r="E76" s="135">
        <f t="shared" si="2"/>
        <v>727.2</v>
      </c>
      <c r="F76" s="133">
        <f t="shared" si="3"/>
        <v>734.5</v>
      </c>
      <c r="G76" s="135">
        <f t="shared" si="4"/>
        <v>-0.2</v>
      </c>
    </row>
    <row r="77" ht="14.25" customHeight="1">
      <c r="A77" s="129" t="s">
        <v>252</v>
      </c>
      <c r="B77" s="2"/>
      <c r="C77" s="3"/>
      <c r="D77" s="147">
        <f t="shared" ref="D77:F77" si="5">+SUM(D5:D76)</f>
        <v>19110.8</v>
      </c>
      <c r="E77" s="147">
        <f t="shared" si="5"/>
        <v>52358.4</v>
      </c>
      <c r="F77" s="147">
        <f t="shared" si="5"/>
        <v>71469.2</v>
      </c>
      <c r="G77" s="148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77:C7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365</v>
      </c>
      <c r="B1" s="2"/>
      <c r="C1" s="2"/>
      <c r="D1" s="2"/>
      <c r="E1" s="2"/>
      <c r="F1" s="2"/>
      <c r="G1" s="3"/>
    </row>
    <row r="2" ht="14.25" customHeight="1">
      <c r="A2" s="129" t="s">
        <v>355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 t="s">
        <v>231</v>
      </c>
      <c r="C4" s="133">
        <f>+J7</f>
        <v>40010.1</v>
      </c>
      <c r="D4" s="134">
        <v>0.01</v>
      </c>
      <c r="E4" s="135"/>
      <c r="F4" s="135"/>
      <c r="G4" s="135">
        <f>+C4</f>
        <v>40010.1</v>
      </c>
    </row>
    <row r="5" ht="14.25" customHeight="1">
      <c r="A5" s="136">
        <v>1.0</v>
      </c>
      <c r="B5" s="137">
        <v>45745.0</v>
      </c>
      <c r="C5" s="138"/>
      <c r="D5" s="138">
        <f t="shared" ref="D5:D64" si="1">+ROUND(G4*0.01,1)</f>
        <v>400.1</v>
      </c>
      <c r="E5" s="138">
        <f t="shared" ref="E5:E63" si="2">ROUNDDOWN($C$4/60,1)</f>
        <v>666.8</v>
      </c>
      <c r="F5" s="139">
        <f t="shared" ref="F5:F64" si="3">+ROUND(D5+E5,1)</f>
        <v>1066.9</v>
      </c>
      <c r="G5" s="138">
        <f t="shared" ref="G5:G64" si="4">+ROUND(G4-E5,1)</f>
        <v>39343.3</v>
      </c>
      <c r="I5" s="140" t="s">
        <v>209</v>
      </c>
      <c r="J5" s="141">
        <v>40010.1</v>
      </c>
    </row>
    <row r="6" ht="14.25" customHeight="1">
      <c r="A6" s="136">
        <v>2.0</v>
      </c>
      <c r="B6" s="137">
        <v>45776.0</v>
      </c>
      <c r="C6" s="144"/>
      <c r="D6" s="138">
        <f t="shared" si="1"/>
        <v>393.4</v>
      </c>
      <c r="E6" s="138">
        <f t="shared" si="2"/>
        <v>666.8</v>
      </c>
      <c r="F6" s="139">
        <f t="shared" si="3"/>
        <v>1060.2</v>
      </c>
      <c r="G6" s="138">
        <f t="shared" si="4"/>
        <v>38676.5</v>
      </c>
      <c r="I6" s="140" t="s">
        <v>331</v>
      </c>
      <c r="J6" s="141">
        <v>0.0</v>
      </c>
    </row>
    <row r="7" ht="14.25" customHeight="1">
      <c r="A7" s="136">
        <v>3.0</v>
      </c>
      <c r="B7" s="137">
        <v>45806.0</v>
      </c>
      <c r="C7" s="144"/>
      <c r="D7" s="138">
        <f t="shared" si="1"/>
        <v>386.8</v>
      </c>
      <c r="E7" s="138">
        <f t="shared" si="2"/>
        <v>666.8</v>
      </c>
      <c r="F7" s="139">
        <f t="shared" si="3"/>
        <v>1053.6</v>
      </c>
      <c r="G7" s="138">
        <f t="shared" si="4"/>
        <v>38009.7</v>
      </c>
      <c r="I7" s="142" t="s">
        <v>252</v>
      </c>
      <c r="J7" s="143">
        <f>+SUM(J5:J6)</f>
        <v>40010.1</v>
      </c>
    </row>
    <row r="8" ht="14.25" customHeight="1">
      <c r="A8" s="136">
        <v>4.0</v>
      </c>
      <c r="B8" s="137">
        <v>45837.0</v>
      </c>
      <c r="C8" s="144"/>
      <c r="D8" s="138">
        <f t="shared" si="1"/>
        <v>380.1</v>
      </c>
      <c r="E8" s="138">
        <f t="shared" si="2"/>
        <v>666.8</v>
      </c>
      <c r="F8" s="139">
        <f t="shared" si="3"/>
        <v>1046.9</v>
      </c>
      <c r="G8" s="138">
        <f t="shared" si="4"/>
        <v>37342.9</v>
      </c>
    </row>
    <row r="9" ht="14.25" customHeight="1">
      <c r="A9" s="136">
        <v>5.0</v>
      </c>
      <c r="B9" s="137">
        <v>45867.0</v>
      </c>
      <c r="C9" s="144"/>
      <c r="D9" s="138">
        <f t="shared" si="1"/>
        <v>373.4</v>
      </c>
      <c r="E9" s="138">
        <f t="shared" si="2"/>
        <v>666.8</v>
      </c>
      <c r="F9" s="139">
        <f t="shared" si="3"/>
        <v>1040.2</v>
      </c>
      <c r="G9" s="138">
        <f t="shared" si="4"/>
        <v>36676.1</v>
      </c>
    </row>
    <row r="10" ht="14.25" customHeight="1">
      <c r="A10" s="136">
        <v>6.0</v>
      </c>
      <c r="B10" s="137">
        <v>45898.0</v>
      </c>
      <c r="C10" s="144"/>
      <c r="D10" s="138">
        <f t="shared" si="1"/>
        <v>366.8</v>
      </c>
      <c r="E10" s="138">
        <f t="shared" si="2"/>
        <v>666.8</v>
      </c>
      <c r="F10" s="139">
        <f t="shared" si="3"/>
        <v>1033.6</v>
      </c>
      <c r="G10" s="138">
        <f t="shared" si="4"/>
        <v>36009.3</v>
      </c>
    </row>
    <row r="11" ht="14.25" customHeight="1">
      <c r="A11" s="136">
        <v>7.0</v>
      </c>
      <c r="B11" s="137">
        <v>45929.0</v>
      </c>
      <c r="C11" s="144"/>
      <c r="D11" s="138">
        <f t="shared" si="1"/>
        <v>360.1</v>
      </c>
      <c r="E11" s="138">
        <f t="shared" si="2"/>
        <v>666.8</v>
      </c>
      <c r="F11" s="139">
        <f t="shared" si="3"/>
        <v>1026.9</v>
      </c>
      <c r="G11" s="138">
        <f t="shared" si="4"/>
        <v>35342.5</v>
      </c>
    </row>
    <row r="12" ht="14.25" customHeight="1">
      <c r="A12" s="136">
        <v>8.0</v>
      </c>
      <c r="B12" s="137">
        <v>45959.0</v>
      </c>
      <c r="C12" s="145"/>
      <c r="D12" s="138">
        <f t="shared" si="1"/>
        <v>353.4</v>
      </c>
      <c r="E12" s="138">
        <f t="shared" si="2"/>
        <v>666.8</v>
      </c>
      <c r="F12" s="139">
        <f t="shared" si="3"/>
        <v>1020.2</v>
      </c>
      <c r="G12" s="138">
        <f t="shared" si="4"/>
        <v>34675.7</v>
      </c>
    </row>
    <row r="13" ht="14.25" customHeight="1">
      <c r="A13" s="136">
        <v>9.0</v>
      </c>
      <c r="B13" s="137">
        <v>45990.0</v>
      </c>
      <c r="C13" s="145"/>
      <c r="D13" s="138">
        <f t="shared" si="1"/>
        <v>346.8</v>
      </c>
      <c r="E13" s="138">
        <f t="shared" si="2"/>
        <v>666.8</v>
      </c>
      <c r="F13" s="139">
        <f t="shared" si="3"/>
        <v>1013.6</v>
      </c>
      <c r="G13" s="138">
        <f t="shared" si="4"/>
        <v>34008.9</v>
      </c>
    </row>
    <row r="14" ht="14.25" customHeight="1">
      <c r="A14" s="136">
        <v>10.0</v>
      </c>
      <c r="B14" s="137">
        <v>46020.0</v>
      </c>
      <c r="C14" s="145"/>
      <c r="D14" s="138">
        <f t="shared" si="1"/>
        <v>340.1</v>
      </c>
      <c r="E14" s="138">
        <f t="shared" si="2"/>
        <v>666.8</v>
      </c>
      <c r="F14" s="139">
        <f t="shared" si="3"/>
        <v>1006.9</v>
      </c>
      <c r="G14" s="138">
        <f t="shared" si="4"/>
        <v>33342.1</v>
      </c>
    </row>
    <row r="15" ht="14.25" customHeight="1">
      <c r="A15" s="131">
        <v>11.0</v>
      </c>
      <c r="B15" s="132">
        <v>46051.0</v>
      </c>
      <c r="C15" s="146"/>
      <c r="D15" s="135">
        <f t="shared" si="1"/>
        <v>333.4</v>
      </c>
      <c r="E15" s="135">
        <f t="shared" si="2"/>
        <v>666.8</v>
      </c>
      <c r="F15" s="133">
        <f t="shared" si="3"/>
        <v>1000.2</v>
      </c>
      <c r="G15" s="135">
        <f t="shared" si="4"/>
        <v>32675.3</v>
      </c>
    </row>
    <row r="16" ht="14.25" customHeight="1">
      <c r="A16" s="131">
        <v>12.0</v>
      </c>
      <c r="B16" s="132">
        <v>46081.0</v>
      </c>
      <c r="C16" s="146"/>
      <c r="D16" s="135">
        <f t="shared" si="1"/>
        <v>326.8</v>
      </c>
      <c r="E16" s="135">
        <f t="shared" si="2"/>
        <v>666.8</v>
      </c>
      <c r="F16" s="133">
        <f t="shared" si="3"/>
        <v>993.6</v>
      </c>
      <c r="G16" s="135">
        <f t="shared" si="4"/>
        <v>32008.5</v>
      </c>
    </row>
    <row r="17" ht="14.25" customHeight="1">
      <c r="A17" s="131">
        <v>13.0</v>
      </c>
      <c r="B17" s="132">
        <v>46110.0</v>
      </c>
      <c r="C17" s="146"/>
      <c r="D17" s="135">
        <f t="shared" si="1"/>
        <v>320.1</v>
      </c>
      <c r="E17" s="135">
        <f t="shared" si="2"/>
        <v>666.8</v>
      </c>
      <c r="F17" s="133">
        <f t="shared" si="3"/>
        <v>986.9</v>
      </c>
      <c r="G17" s="135">
        <f t="shared" si="4"/>
        <v>31341.7</v>
      </c>
    </row>
    <row r="18" ht="14.25" customHeight="1">
      <c r="A18" s="131">
        <v>14.0</v>
      </c>
      <c r="B18" s="132">
        <v>46141.0</v>
      </c>
      <c r="C18" s="146"/>
      <c r="D18" s="135">
        <f t="shared" si="1"/>
        <v>313.4</v>
      </c>
      <c r="E18" s="135">
        <f t="shared" si="2"/>
        <v>666.8</v>
      </c>
      <c r="F18" s="133">
        <f t="shared" si="3"/>
        <v>980.2</v>
      </c>
      <c r="G18" s="135">
        <f t="shared" si="4"/>
        <v>30674.9</v>
      </c>
    </row>
    <row r="19" ht="14.25" customHeight="1">
      <c r="A19" s="131">
        <v>15.0</v>
      </c>
      <c r="B19" s="132">
        <v>46171.0</v>
      </c>
      <c r="C19" s="146"/>
      <c r="D19" s="135">
        <f t="shared" si="1"/>
        <v>306.7</v>
      </c>
      <c r="E19" s="135">
        <f t="shared" si="2"/>
        <v>666.8</v>
      </c>
      <c r="F19" s="133">
        <f t="shared" si="3"/>
        <v>973.5</v>
      </c>
      <c r="G19" s="135">
        <f t="shared" si="4"/>
        <v>30008.1</v>
      </c>
    </row>
    <row r="20" ht="14.25" customHeight="1">
      <c r="A20" s="131">
        <v>16.0</v>
      </c>
      <c r="B20" s="132">
        <v>46202.0</v>
      </c>
      <c r="C20" s="146"/>
      <c r="D20" s="135">
        <f t="shared" si="1"/>
        <v>300.1</v>
      </c>
      <c r="E20" s="135">
        <f t="shared" si="2"/>
        <v>666.8</v>
      </c>
      <c r="F20" s="133">
        <f t="shared" si="3"/>
        <v>966.9</v>
      </c>
      <c r="G20" s="135">
        <f t="shared" si="4"/>
        <v>29341.3</v>
      </c>
    </row>
    <row r="21" ht="14.25" customHeight="1">
      <c r="A21" s="131">
        <v>17.0</v>
      </c>
      <c r="B21" s="132">
        <v>46232.0</v>
      </c>
      <c r="C21" s="146"/>
      <c r="D21" s="135">
        <f t="shared" si="1"/>
        <v>293.4</v>
      </c>
      <c r="E21" s="135">
        <f t="shared" si="2"/>
        <v>666.8</v>
      </c>
      <c r="F21" s="133">
        <f t="shared" si="3"/>
        <v>960.2</v>
      </c>
      <c r="G21" s="135">
        <f t="shared" si="4"/>
        <v>28674.5</v>
      </c>
    </row>
    <row r="22" ht="14.25" customHeight="1">
      <c r="A22" s="131">
        <v>18.0</v>
      </c>
      <c r="B22" s="132">
        <v>46263.0</v>
      </c>
      <c r="C22" s="146"/>
      <c r="D22" s="135">
        <f t="shared" si="1"/>
        <v>286.7</v>
      </c>
      <c r="E22" s="135">
        <f t="shared" si="2"/>
        <v>666.8</v>
      </c>
      <c r="F22" s="133">
        <f t="shared" si="3"/>
        <v>953.5</v>
      </c>
      <c r="G22" s="135">
        <f t="shared" si="4"/>
        <v>28007.7</v>
      </c>
    </row>
    <row r="23" ht="14.25" customHeight="1">
      <c r="A23" s="131">
        <v>19.0</v>
      </c>
      <c r="B23" s="132">
        <v>46294.0</v>
      </c>
      <c r="C23" s="146"/>
      <c r="D23" s="135">
        <f t="shared" si="1"/>
        <v>280.1</v>
      </c>
      <c r="E23" s="135">
        <f t="shared" si="2"/>
        <v>666.8</v>
      </c>
      <c r="F23" s="133">
        <f t="shared" si="3"/>
        <v>946.9</v>
      </c>
      <c r="G23" s="135">
        <f t="shared" si="4"/>
        <v>27340.9</v>
      </c>
    </row>
    <row r="24" ht="14.25" customHeight="1">
      <c r="A24" s="131">
        <v>20.0</v>
      </c>
      <c r="B24" s="132">
        <v>46324.0</v>
      </c>
      <c r="C24" s="146"/>
      <c r="D24" s="135">
        <f t="shared" si="1"/>
        <v>273.4</v>
      </c>
      <c r="E24" s="135">
        <f t="shared" si="2"/>
        <v>666.8</v>
      </c>
      <c r="F24" s="133">
        <f t="shared" si="3"/>
        <v>940.2</v>
      </c>
      <c r="G24" s="135">
        <f t="shared" si="4"/>
        <v>26674.1</v>
      </c>
    </row>
    <row r="25" ht="14.25" customHeight="1">
      <c r="A25" s="131">
        <v>21.0</v>
      </c>
      <c r="B25" s="132">
        <v>46355.0</v>
      </c>
      <c r="C25" s="146"/>
      <c r="D25" s="135">
        <f t="shared" si="1"/>
        <v>266.7</v>
      </c>
      <c r="E25" s="135">
        <f t="shared" si="2"/>
        <v>666.8</v>
      </c>
      <c r="F25" s="133">
        <f t="shared" si="3"/>
        <v>933.5</v>
      </c>
      <c r="G25" s="135">
        <f t="shared" si="4"/>
        <v>26007.3</v>
      </c>
    </row>
    <row r="26" ht="14.25" customHeight="1">
      <c r="A26" s="131">
        <v>22.0</v>
      </c>
      <c r="B26" s="132">
        <v>46385.0</v>
      </c>
      <c r="C26" s="146"/>
      <c r="D26" s="135">
        <f t="shared" si="1"/>
        <v>260.1</v>
      </c>
      <c r="E26" s="135">
        <f t="shared" si="2"/>
        <v>666.8</v>
      </c>
      <c r="F26" s="133">
        <f t="shared" si="3"/>
        <v>926.9</v>
      </c>
      <c r="G26" s="135">
        <f t="shared" si="4"/>
        <v>25340.5</v>
      </c>
    </row>
    <row r="27" ht="14.25" customHeight="1">
      <c r="A27" s="131">
        <v>23.0</v>
      </c>
      <c r="B27" s="132">
        <v>46416.0</v>
      </c>
      <c r="C27" s="146"/>
      <c r="D27" s="135">
        <f t="shared" si="1"/>
        <v>253.4</v>
      </c>
      <c r="E27" s="135">
        <f t="shared" si="2"/>
        <v>666.8</v>
      </c>
      <c r="F27" s="133">
        <f t="shared" si="3"/>
        <v>920.2</v>
      </c>
      <c r="G27" s="135">
        <f t="shared" si="4"/>
        <v>24673.7</v>
      </c>
    </row>
    <row r="28" ht="14.25" customHeight="1">
      <c r="A28" s="131">
        <v>24.0</v>
      </c>
      <c r="B28" s="132">
        <v>46446.0</v>
      </c>
      <c r="C28" s="146"/>
      <c r="D28" s="135">
        <f t="shared" si="1"/>
        <v>246.7</v>
      </c>
      <c r="E28" s="135">
        <f t="shared" si="2"/>
        <v>666.8</v>
      </c>
      <c r="F28" s="133">
        <f t="shared" si="3"/>
        <v>913.5</v>
      </c>
      <c r="G28" s="135">
        <f t="shared" si="4"/>
        <v>24006.9</v>
      </c>
    </row>
    <row r="29" ht="14.25" customHeight="1">
      <c r="A29" s="131">
        <v>25.0</v>
      </c>
      <c r="B29" s="132">
        <v>46475.0</v>
      </c>
      <c r="C29" s="146"/>
      <c r="D29" s="135">
        <f t="shared" si="1"/>
        <v>240.1</v>
      </c>
      <c r="E29" s="135">
        <f t="shared" si="2"/>
        <v>666.8</v>
      </c>
      <c r="F29" s="133">
        <f t="shared" si="3"/>
        <v>906.9</v>
      </c>
      <c r="G29" s="135">
        <f t="shared" si="4"/>
        <v>23340.1</v>
      </c>
    </row>
    <row r="30" ht="14.25" customHeight="1">
      <c r="A30" s="131">
        <v>26.0</v>
      </c>
      <c r="B30" s="132">
        <v>46506.0</v>
      </c>
      <c r="C30" s="146"/>
      <c r="D30" s="135">
        <f t="shared" si="1"/>
        <v>233.4</v>
      </c>
      <c r="E30" s="135">
        <f t="shared" si="2"/>
        <v>666.8</v>
      </c>
      <c r="F30" s="133">
        <f t="shared" si="3"/>
        <v>900.2</v>
      </c>
      <c r="G30" s="135">
        <f t="shared" si="4"/>
        <v>22673.3</v>
      </c>
    </row>
    <row r="31" ht="14.25" customHeight="1">
      <c r="A31" s="131">
        <v>27.0</v>
      </c>
      <c r="B31" s="132">
        <v>46536.0</v>
      </c>
      <c r="C31" s="146"/>
      <c r="D31" s="135">
        <f t="shared" si="1"/>
        <v>226.7</v>
      </c>
      <c r="E31" s="135">
        <f t="shared" si="2"/>
        <v>666.8</v>
      </c>
      <c r="F31" s="133">
        <f t="shared" si="3"/>
        <v>893.5</v>
      </c>
      <c r="G31" s="135">
        <f t="shared" si="4"/>
        <v>22006.5</v>
      </c>
    </row>
    <row r="32" ht="14.25" customHeight="1">
      <c r="A32" s="131">
        <v>28.0</v>
      </c>
      <c r="B32" s="132">
        <v>46567.0</v>
      </c>
      <c r="C32" s="146"/>
      <c r="D32" s="135">
        <f t="shared" si="1"/>
        <v>220.1</v>
      </c>
      <c r="E32" s="135">
        <f t="shared" si="2"/>
        <v>666.8</v>
      </c>
      <c r="F32" s="133">
        <f t="shared" si="3"/>
        <v>886.9</v>
      </c>
      <c r="G32" s="135">
        <f t="shared" si="4"/>
        <v>21339.7</v>
      </c>
    </row>
    <row r="33" ht="14.25" customHeight="1">
      <c r="A33" s="131">
        <v>29.0</v>
      </c>
      <c r="B33" s="132">
        <v>46597.0</v>
      </c>
      <c r="C33" s="146"/>
      <c r="D33" s="135">
        <f t="shared" si="1"/>
        <v>213.4</v>
      </c>
      <c r="E33" s="135">
        <f t="shared" si="2"/>
        <v>666.8</v>
      </c>
      <c r="F33" s="133">
        <f t="shared" si="3"/>
        <v>880.2</v>
      </c>
      <c r="G33" s="135">
        <f t="shared" si="4"/>
        <v>20672.9</v>
      </c>
    </row>
    <row r="34" ht="14.25" customHeight="1">
      <c r="A34" s="131">
        <v>30.0</v>
      </c>
      <c r="B34" s="132">
        <v>46628.0</v>
      </c>
      <c r="C34" s="146"/>
      <c r="D34" s="135">
        <f t="shared" si="1"/>
        <v>206.7</v>
      </c>
      <c r="E34" s="135">
        <f t="shared" si="2"/>
        <v>666.8</v>
      </c>
      <c r="F34" s="133">
        <f t="shared" si="3"/>
        <v>873.5</v>
      </c>
      <c r="G34" s="135">
        <f t="shared" si="4"/>
        <v>20006.1</v>
      </c>
    </row>
    <row r="35" ht="14.25" customHeight="1">
      <c r="A35" s="131">
        <v>31.0</v>
      </c>
      <c r="B35" s="132">
        <v>46659.0</v>
      </c>
      <c r="C35" s="146"/>
      <c r="D35" s="135">
        <f t="shared" si="1"/>
        <v>200.1</v>
      </c>
      <c r="E35" s="135">
        <f t="shared" si="2"/>
        <v>666.8</v>
      </c>
      <c r="F35" s="133">
        <f t="shared" si="3"/>
        <v>866.9</v>
      </c>
      <c r="G35" s="135">
        <f t="shared" si="4"/>
        <v>19339.3</v>
      </c>
    </row>
    <row r="36" ht="14.25" customHeight="1">
      <c r="A36" s="131">
        <v>32.0</v>
      </c>
      <c r="B36" s="132">
        <v>46689.0</v>
      </c>
      <c r="C36" s="146"/>
      <c r="D36" s="135">
        <f t="shared" si="1"/>
        <v>193.4</v>
      </c>
      <c r="E36" s="135">
        <f t="shared" si="2"/>
        <v>666.8</v>
      </c>
      <c r="F36" s="133">
        <f t="shared" si="3"/>
        <v>860.2</v>
      </c>
      <c r="G36" s="135">
        <f t="shared" si="4"/>
        <v>18672.5</v>
      </c>
    </row>
    <row r="37" ht="14.25" customHeight="1">
      <c r="A37" s="131">
        <v>33.0</v>
      </c>
      <c r="B37" s="132">
        <v>46720.0</v>
      </c>
      <c r="C37" s="146"/>
      <c r="D37" s="135">
        <f t="shared" si="1"/>
        <v>186.7</v>
      </c>
      <c r="E37" s="135">
        <f t="shared" si="2"/>
        <v>666.8</v>
      </c>
      <c r="F37" s="133">
        <f t="shared" si="3"/>
        <v>853.5</v>
      </c>
      <c r="G37" s="135">
        <f t="shared" si="4"/>
        <v>18005.7</v>
      </c>
    </row>
    <row r="38" ht="14.25" customHeight="1">
      <c r="A38" s="131">
        <v>34.0</v>
      </c>
      <c r="B38" s="132">
        <v>46750.0</v>
      </c>
      <c r="C38" s="146"/>
      <c r="D38" s="135">
        <f t="shared" si="1"/>
        <v>180.1</v>
      </c>
      <c r="E38" s="135">
        <f t="shared" si="2"/>
        <v>666.8</v>
      </c>
      <c r="F38" s="133">
        <f t="shared" si="3"/>
        <v>846.9</v>
      </c>
      <c r="G38" s="135">
        <f t="shared" si="4"/>
        <v>17338.9</v>
      </c>
    </row>
    <row r="39" ht="14.25" customHeight="1">
      <c r="A39" s="131">
        <v>35.0</v>
      </c>
      <c r="B39" s="132">
        <v>46781.0</v>
      </c>
      <c r="C39" s="146"/>
      <c r="D39" s="135">
        <f t="shared" si="1"/>
        <v>173.4</v>
      </c>
      <c r="E39" s="135">
        <f t="shared" si="2"/>
        <v>666.8</v>
      </c>
      <c r="F39" s="133">
        <f t="shared" si="3"/>
        <v>840.2</v>
      </c>
      <c r="G39" s="135">
        <f t="shared" si="4"/>
        <v>16672.1</v>
      </c>
    </row>
    <row r="40" ht="14.25" customHeight="1">
      <c r="A40" s="131">
        <v>36.0</v>
      </c>
      <c r="B40" s="132">
        <v>46812.0</v>
      </c>
      <c r="C40" s="146"/>
      <c r="D40" s="135">
        <f t="shared" si="1"/>
        <v>166.7</v>
      </c>
      <c r="E40" s="135">
        <f t="shared" si="2"/>
        <v>666.8</v>
      </c>
      <c r="F40" s="133">
        <f t="shared" si="3"/>
        <v>833.5</v>
      </c>
      <c r="G40" s="135">
        <f t="shared" si="4"/>
        <v>16005.3</v>
      </c>
    </row>
    <row r="41" ht="14.25" customHeight="1">
      <c r="A41" s="131">
        <v>37.0</v>
      </c>
      <c r="B41" s="132">
        <v>46841.0</v>
      </c>
      <c r="C41" s="146"/>
      <c r="D41" s="135">
        <f t="shared" si="1"/>
        <v>160.1</v>
      </c>
      <c r="E41" s="135">
        <f t="shared" si="2"/>
        <v>666.8</v>
      </c>
      <c r="F41" s="133">
        <f t="shared" si="3"/>
        <v>826.9</v>
      </c>
      <c r="G41" s="135">
        <f t="shared" si="4"/>
        <v>15338.5</v>
      </c>
    </row>
    <row r="42" ht="14.25" customHeight="1">
      <c r="A42" s="131">
        <v>38.0</v>
      </c>
      <c r="B42" s="132">
        <v>46872.0</v>
      </c>
      <c r="C42" s="146"/>
      <c r="D42" s="135">
        <f t="shared" si="1"/>
        <v>153.4</v>
      </c>
      <c r="E42" s="135">
        <f t="shared" si="2"/>
        <v>666.8</v>
      </c>
      <c r="F42" s="133">
        <f t="shared" si="3"/>
        <v>820.2</v>
      </c>
      <c r="G42" s="135">
        <f t="shared" si="4"/>
        <v>14671.7</v>
      </c>
    </row>
    <row r="43" ht="14.25" customHeight="1">
      <c r="A43" s="131">
        <v>39.0</v>
      </c>
      <c r="B43" s="132">
        <v>46902.0</v>
      </c>
      <c r="C43" s="146"/>
      <c r="D43" s="135">
        <f t="shared" si="1"/>
        <v>146.7</v>
      </c>
      <c r="E43" s="135">
        <f t="shared" si="2"/>
        <v>666.8</v>
      </c>
      <c r="F43" s="133">
        <f t="shared" si="3"/>
        <v>813.5</v>
      </c>
      <c r="G43" s="135">
        <f t="shared" si="4"/>
        <v>14004.9</v>
      </c>
    </row>
    <row r="44" ht="14.25" customHeight="1">
      <c r="A44" s="131">
        <v>40.0</v>
      </c>
      <c r="B44" s="132">
        <v>46933.0</v>
      </c>
      <c r="C44" s="146"/>
      <c r="D44" s="135">
        <f t="shared" si="1"/>
        <v>140</v>
      </c>
      <c r="E44" s="135">
        <f t="shared" si="2"/>
        <v>666.8</v>
      </c>
      <c r="F44" s="133">
        <f t="shared" si="3"/>
        <v>806.8</v>
      </c>
      <c r="G44" s="135">
        <f t="shared" si="4"/>
        <v>13338.1</v>
      </c>
    </row>
    <row r="45" ht="14.25" customHeight="1">
      <c r="A45" s="131">
        <v>41.0</v>
      </c>
      <c r="B45" s="132">
        <v>46963.0</v>
      </c>
      <c r="C45" s="146"/>
      <c r="D45" s="135">
        <f t="shared" si="1"/>
        <v>133.4</v>
      </c>
      <c r="E45" s="135">
        <f t="shared" si="2"/>
        <v>666.8</v>
      </c>
      <c r="F45" s="133">
        <f t="shared" si="3"/>
        <v>800.2</v>
      </c>
      <c r="G45" s="135">
        <f t="shared" si="4"/>
        <v>12671.3</v>
      </c>
    </row>
    <row r="46" ht="14.25" customHeight="1">
      <c r="A46" s="131">
        <v>42.0</v>
      </c>
      <c r="B46" s="132">
        <v>46994.0</v>
      </c>
      <c r="C46" s="146"/>
      <c r="D46" s="135">
        <f t="shared" si="1"/>
        <v>126.7</v>
      </c>
      <c r="E46" s="135">
        <f t="shared" si="2"/>
        <v>666.8</v>
      </c>
      <c r="F46" s="133">
        <f t="shared" si="3"/>
        <v>793.5</v>
      </c>
      <c r="G46" s="135">
        <f t="shared" si="4"/>
        <v>12004.5</v>
      </c>
    </row>
    <row r="47" ht="14.25" customHeight="1">
      <c r="A47" s="131">
        <v>43.0</v>
      </c>
      <c r="B47" s="132">
        <v>47025.0</v>
      </c>
      <c r="C47" s="146"/>
      <c r="D47" s="135">
        <f t="shared" si="1"/>
        <v>120</v>
      </c>
      <c r="E47" s="135">
        <f t="shared" si="2"/>
        <v>666.8</v>
      </c>
      <c r="F47" s="133">
        <f t="shared" si="3"/>
        <v>786.8</v>
      </c>
      <c r="G47" s="135">
        <f t="shared" si="4"/>
        <v>11337.7</v>
      </c>
    </row>
    <row r="48" ht="14.25" customHeight="1">
      <c r="A48" s="131">
        <v>44.0</v>
      </c>
      <c r="B48" s="132">
        <v>47055.0</v>
      </c>
      <c r="C48" s="146"/>
      <c r="D48" s="135">
        <f t="shared" si="1"/>
        <v>113.4</v>
      </c>
      <c r="E48" s="135">
        <f t="shared" si="2"/>
        <v>666.8</v>
      </c>
      <c r="F48" s="133">
        <f t="shared" si="3"/>
        <v>780.2</v>
      </c>
      <c r="G48" s="135">
        <f t="shared" si="4"/>
        <v>10670.9</v>
      </c>
    </row>
    <row r="49" ht="14.25" customHeight="1">
      <c r="A49" s="131">
        <v>45.0</v>
      </c>
      <c r="B49" s="132">
        <v>47086.0</v>
      </c>
      <c r="C49" s="146"/>
      <c r="D49" s="135">
        <f t="shared" si="1"/>
        <v>106.7</v>
      </c>
      <c r="E49" s="135">
        <f t="shared" si="2"/>
        <v>666.8</v>
      </c>
      <c r="F49" s="133">
        <f t="shared" si="3"/>
        <v>773.5</v>
      </c>
      <c r="G49" s="135">
        <f t="shared" si="4"/>
        <v>10004.1</v>
      </c>
    </row>
    <row r="50" ht="14.25" customHeight="1">
      <c r="A50" s="131">
        <v>46.0</v>
      </c>
      <c r="B50" s="132">
        <v>47116.0</v>
      </c>
      <c r="C50" s="146"/>
      <c r="D50" s="135">
        <f t="shared" si="1"/>
        <v>100</v>
      </c>
      <c r="E50" s="135">
        <f t="shared" si="2"/>
        <v>666.8</v>
      </c>
      <c r="F50" s="133">
        <f t="shared" si="3"/>
        <v>766.8</v>
      </c>
      <c r="G50" s="135">
        <f t="shared" si="4"/>
        <v>9337.3</v>
      </c>
    </row>
    <row r="51" ht="14.25" customHeight="1">
      <c r="A51" s="131">
        <v>47.0</v>
      </c>
      <c r="B51" s="132">
        <v>47147.0</v>
      </c>
      <c r="C51" s="146"/>
      <c r="D51" s="135">
        <f t="shared" si="1"/>
        <v>93.4</v>
      </c>
      <c r="E51" s="135">
        <f t="shared" si="2"/>
        <v>666.8</v>
      </c>
      <c r="F51" s="133">
        <f t="shared" si="3"/>
        <v>760.2</v>
      </c>
      <c r="G51" s="135">
        <f t="shared" si="4"/>
        <v>8670.5</v>
      </c>
    </row>
    <row r="52" ht="14.25" customHeight="1">
      <c r="A52" s="131">
        <v>48.0</v>
      </c>
      <c r="B52" s="132">
        <v>47177.0</v>
      </c>
      <c r="C52" s="146"/>
      <c r="D52" s="135">
        <f t="shared" si="1"/>
        <v>86.7</v>
      </c>
      <c r="E52" s="135">
        <f t="shared" si="2"/>
        <v>666.8</v>
      </c>
      <c r="F52" s="133">
        <f t="shared" si="3"/>
        <v>753.5</v>
      </c>
      <c r="G52" s="135">
        <f t="shared" si="4"/>
        <v>8003.7</v>
      </c>
    </row>
    <row r="53" ht="14.25" customHeight="1">
      <c r="A53" s="131">
        <v>49.0</v>
      </c>
      <c r="B53" s="132">
        <v>47206.0</v>
      </c>
      <c r="C53" s="146"/>
      <c r="D53" s="135">
        <f t="shared" si="1"/>
        <v>80</v>
      </c>
      <c r="E53" s="135">
        <f t="shared" si="2"/>
        <v>666.8</v>
      </c>
      <c r="F53" s="133">
        <f t="shared" si="3"/>
        <v>746.8</v>
      </c>
      <c r="G53" s="135">
        <f t="shared" si="4"/>
        <v>7336.9</v>
      </c>
    </row>
    <row r="54" ht="14.25" customHeight="1">
      <c r="A54" s="131">
        <v>50.0</v>
      </c>
      <c r="B54" s="132">
        <v>47237.0</v>
      </c>
      <c r="C54" s="146"/>
      <c r="D54" s="135">
        <f t="shared" si="1"/>
        <v>73.4</v>
      </c>
      <c r="E54" s="135">
        <f t="shared" si="2"/>
        <v>666.8</v>
      </c>
      <c r="F54" s="133">
        <f t="shared" si="3"/>
        <v>740.2</v>
      </c>
      <c r="G54" s="135">
        <f t="shared" si="4"/>
        <v>6670.1</v>
      </c>
    </row>
    <row r="55" ht="14.25" customHeight="1">
      <c r="A55" s="131">
        <v>51.0</v>
      </c>
      <c r="B55" s="132">
        <v>47267.0</v>
      </c>
      <c r="C55" s="146"/>
      <c r="D55" s="135">
        <f t="shared" si="1"/>
        <v>66.7</v>
      </c>
      <c r="E55" s="135">
        <f t="shared" si="2"/>
        <v>666.8</v>
      </c>
      <c r="F55" s="133">
        <f t="shared" si="3"/>
        <v>733.5</v>
      </c>
      <c r="G55" s="135">
        <f t="shared" si="4"/>
        <v>6003.3</v>
      </c>
    </row>
    <row r="56" ht="14.25" customHeight="1">
      <c r="A56" s="131">
        <v>52.0</v>
      </c>
      <c r="B56" s="132">
        <v>47298.0</v>
      </c>
      <c r="C56" s="146"/>
      <c r="D56" s="135">
        <f t="shared" si="1"/>
        <v>60</v>
      </c>
      <c r="E56" s="135">
        <f t="shared" si="2"/>
        <v>666.8</v>
      </c>
      <c r="F56" s="133">
        <f t="shared" si="3"/>
        <v>726.8</v>
      </c>
      <c r="G56" s="135">
        <f t="shared" si="4"/>
        <v>5336.5</v>
      </c>
    </row>
    <row r="57" ht="14.25" customHeight="1">
      <c r="A57" s="131">
        <v>53.0</v>
      </c>
      <c r="B57" s="132">
        <v>47328.0</v>
      </c>
      <c r="C57" s="146"/>
      <c r="D57" s="135">
        <f t="shared" si="1"/>
        <v>53.4</v>
      </c>
      <c r="E57" s="135">
        <f t="shared" si="2"/>
        <v>666.8</v>
      </c>
      <c r="F57" s="133">
        <f t="shared" si="3"/>
        <v>720.2</v>
      </c>
      <c r="G57" s="135">
        <f t="shared" si="4"/>
        <v>4669.7</v>
      </c>
    </row>
    <row r="58" ht="14.25" customHeight="1">
      <c r="A58" s="131">
        <v>54.0</v>
      </c>
      <c r="B58" s="132">
        <v>47359.0</v>
      </c>
      <c r="C58" s="146"/>
      <c r="D58" s="135">
        <f t="shared" si="1"/>
        <v>46.7</v>
      </c>
      <c r="E58" s="135">
        <f t="shared" si="2"/>
        <v>666.8</v>
      </c>
      <c r="F58" s="133">
        <f t="shared" si="3"/>
        <v>713.5</v>
      </c>
      <c r="G58" s="135">
        <f t="shared" si="4"/>
        <v>4002.9</v>
      </c>
    </row>
    <row r="59" ht="14.25" customHeight="1">
      <c r="A59" s="131">
        <v>55.0</v>
      </c>
      <c r="B59" s="132">
        <v>47390.0</v>
      </c>
      <c r="C59" s="146"/>
      <c r="D59" s="135">
        <f t="shared" si="1"/>
        <v>40</v>
      </c>
      <c r="E59" s="135">
        <f t="shared" si="2"/>
        <v>666.8</v>
      </c>
      <c r="F59" s="133">
        <f t="shared" si="3"/>
        <v>706.8</v>
      </c>
      <c r="G59" s="135">
        <f t="shared" si="4"/>
        <v>3336.1</v>
      </c>
    </row>
    <row r="60" ht="14.25" customHeight="1">
      <c r="A60" s="131">
        <v>56.0</v>
      </c>
      <c r="B60" s="132">
        <v>47420.0</v>
      </c>
      <c r="C60" s="146"/>
      <c r="D60" s="135">
        <f t="shared" si="1"/>
        <v>33.4</v>
      </c>
      <c r="E60" s="135">
        <f t="shared" si="2"/>
        <v>666.8</v>
      </c>
      <c r="F60" s="133">
        <f t="shared" si="3"/>
        <v>700.2</v>
      </c>
      <c r="G60" s="135">
        <f t="shared" si="4"/>
        <v>2669.3</v>
      </c>
    </row>
    <row r="61" ht="14.25" customHeight="1">
      <c r="A61" s="131">
        <v>57.0</v>
      </c>
      <c r="B61" s="132">
        <v>47451.0</v>
      </c>
      <c r="C61" s="146"/>
      <c r="D61" s="135">
        <f t="shared" si="1"/>
        <v>26.7</v>
      </c>
      <c r="E61" s="135">
        <f t="shared" si="2"/>
        <v>666.8</v>
      </c>
      <c r="F61" s="133">
        <f t="shared" si="3"/>
        <v>693.5</v>
      </c>
      <c r="G61" s="135">
        <f t="shared" si="4"/>
        <v>2002.5</v>
      </c>
    </row>
    <row r="62" ht="14.25" customHeight="1">
      <c r="A62" s="131">
        <v>58.0</v>
      </c>
      <c r="B62" s="132">
        <v>47481.0</v>
      </c>
      <c r="C62" s="146"/>
      <c r="D62" s="135">
        <f t="shared" si="1"/>
        <v>20</v>
      </c>
      <c r="E62" s="135">
        <f t="shared" si="2"/>
        <v>666.8</v>
      </c>
      <c r="F62" s="133">
        <f t="shared" si="3"/>
        <v>686.8</v>
      </c>
      <c r="G62" s="135">
        <f t="shared" si="4"/>
        <v>1335.7</v>
      </c>
    </row>
    <row r="63" ht="14.25" customHeight="1">
      <c r="A63" s="131">
        <v>59.0</v>
      </c>
      <c r="B63" s="132">
        <v>47512.0</v>
      </c>
      <c r="C63" s="146"/>
      <c r="D63" s="135">
        <f t="shared" si="1"/>
        <v>13.4</v>
      </c>
      <c r="E63" s="135">
        <f t="shared" si="2"/>
        <v>666.8</v>
      </c>
      <c r="F63" s="133">
        <f t="shared" si="3"/>
        <v>680.2</v>
      </c>
      <c r="G63" s="135">
        <f t="shared" si="4"/>
        <v>668.9</v>
      </c>
    </row>
    <row r="64" ht="14.25" customHeight="1">
      <c r="A64" s="131">
        <v>60.0</v>
      </c>
      <c r="B64" s="132">
        <v>47542.0</v>
      </c>
      <c r="C64" s="146"/>
      <c r="D64" s="135">
        <f t="shared" si="1"/>
        <v>6.7</v>
      </c>
      <c r="E64" s="135">
        <f>ROUNDDOWN($C$4/60,1)+2.1</f>
        <v>668.9</v>
      </c>
      <c r="F64" s="133">
        <f t="shared" si="3"/>
        <v>675.6</v>
      </c>
      <c r="G64" s="135">
        <f t="shared" si="4"/>
        <v>0</v>
      </c>
    </row>
    <row r="65" ht="14.25" customHeight="1">
      <c r="A65" s="129" t="s">
        <v>252</v>
      </c>
      <c r="B65" s="2"/>
      <c r="C65" s="3"/>
      <c r="D65" s="147">
        <f t="shared" ref="D65:F65" si="5">+SUM(D5:D64)</f>
        <v>12203.7</v>
      </c>
      <c r="E65" s="147">
        <f t="shared" si="5"/>
        <v>40010.1</v>
      </c>
      <c r="F65" s="147">
        <f t="shared" si="5"/>
        <v>52213.8</v>
      </c>
      <c r="G65" s="148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65:C65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366</v>
      </c>
      <c r="B1" s="2"/>
      <c r="C1" s="2"/>
      <c r="D1" s="2"/>
      <c r="E1" s="2"/>
      <c r="F1" s="2"/>
      <c r="G1" s="3"/>
    </row>
    <row r="2" ht="14.25" customHeight="1">
      <c r="A2" s="129" t="s">
        <v>339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45898.0</v>
      </c>
      <c r="C4" s="133">
        <f>+J7</f>
        <v>55904.3</v>
      </c>
      <c r="D4" s="134">
        <v>0.01</v>
      </c>
      <c r="E4" s="135"/>
      <c r="F4" s="135"/>
      <c r="G4" s="135">
        <f>+C4</f>
        <v>55904.3</v>
      </c>
    </row>
    <row r="5" ht="14.25" customHeight="1">
      <c r="A5" s="136">
        <v>1.0</v>
      </c>
      <c r="B5" s="137">
        <v>45929.0</v>
      </c>
      <c r="C5" s="138"/>
      <c r="D5" s="138">
        <f t="shared" ref="D5:D88" si="1">+ROUND(G4*0.01,1)</f>
        <v>559</v>
      </c>
      <c r="E5" s="138">
        <f t="shared" ref="E5:E87" si="2">ROUNDDOWN($C$4/84,1)</f>
        <v>665.5</v>
      </c>
      <c r="F5" s="139">
        <f t="shared" ref="F5:F88" si="3">+ROUND(D5+E5,1)</f>
        <v>1224.5</v>
      </c>
      <c r="G5" s="138">
        <f t="shared" ref="G5:G88" si="4">+ROUND(G4-E5,1)</f>
        <v>55238.8</v>
      </c>
      <c r="I5" s="140" t="s">
        <v>209</v>
      </c>
      <c r="J5" s="141">
        <v>53125.9</v>
      </c>
    </row>
    <row r="6" ht="14.25" customHeight="1">
      <c r="A6" s="136">
        <v>2.0</v>
      </c>
      <c r="B6" s="137">
        <v>45959.0</v>
      </c>
      <c r="C6" s="145"/>
      <c r="D6" s="138">
        <f t="shared" si="1"/>
        <v>552.4</v>
      </c>
      <c r="E6" s="138">
        <f t="shared" si="2"/>
        <v>665.5</v>
      </c>
      <c r="F6" s="139">
        <f t="shared" si="3"/>
        <v>1217.9</v>
      </c>
      <c r="G6" s="138">
        <f t="shared" si="4"/>
        <v>54573.3</v>
      </c>
      <c r="I6" s="140" t="s">
        <v>331</v>
      </c>
      <c r="J6" s="141">
        <v>2778.400000000003</v>
      </c>
    </row>
    <row r="7" ht="14.25" customHeight="1">
      <c r="A7" s="136">
        <v>3.0</v>
      </c>
      <c r="B7" s="137">
        <v>45990.0</v>
      </c>
      <c r="C7" s="145"/>
      <c r="D7" s="138">
        <f t="shared" si="1"/>
        <v>545.7</v>
      </c>
      <c r="E7" s="138">
        <f t="shared" si="2"/>
        <v>665.5</v>
      </c>
      <c r="F7" s="139">
        <f t="shared" si="3"/>
        <v>1211.2</v>
      </c>
      <c r="G7" s="138">
        <f t="shared" si="4"/>
        <v>53907.8</v>
      </c>
      <c r="I7" s="142" t="s">
        <v>252</v>
      </c>
      <c r="J7" s="143">
        <f>+SUM(J5:J6)</f>
        <v>55904.3</v>
      </c>
    </row>
    <row r="8" ht="14.25" customHeight="1">
      <c r="A8" s="136">
        <v>4.0</v>
      </c>
      <c r="B8" s="137">
        <v>46020.0</v>
      </c>
      <c r="C8" s="145"/>
      <c r="D8" s="138">
        <f t="shared" si="1"/>
        <v>539.1</v>
      </c>
      <c r="E8" s="138">
        <f t="shared" si="2"/>
        <v>665.5</v>
      </c>
      <c r="F8" s="139">
        <f t="shared" si="3"/>
        <v>1204.6</v>
      </c>
      <c r="G8" s="138">
        <f t="shared" si="4"/>
        <v>53242.3</v>
      </c>
    </row>
    <row r="9" ht="14.25" customHeight="1">
      <c r="A9" s="131">
        <v>5.0</v>
      </c>
      <c r="B9" s="132">
        <v>46051.0</v>
      </c>
      <c r="C9" s="146"/>
      <c r="D9" s="135">
        <f t="shared" si="1"/>
        <v>532.4</v>
      </c>
      <c r="E9" s="135">
        <f t="shared" si="2"/>
        <v>665.5</v>
      </c>
      <c r="F9" s="133">
        <f t="shared" si="3"/>
        <v>1197.9</v>
      </c>
      <c r="G9" s="135">
        <f t="shared" si="4"/>
        <v>52576.8</v>
      </c>
    </row>
    <row r="10" ht="14.25" customHeight="1">
      <c r="A10" s="131">
        <v>6.0</v>
      </c>
      <c r="B10" s="132">
        <v>46081.0</v>
      </c>
      <c r="C10" s="146"/>
      <c r="D10" s="135">
        <f t="shared" si="1"/>
        <v>525.8</v>
      </c>
      <c r="E10" s="135">
        <f t="shared" si="2"/>
        <v>665.5</v>
      </c>
      <c r="F10" s="133">
        <f t="shared" si="3"/>
        <v>1191.3</v>
      </c>
      <c r="G10" s="135">
        <f t="shared" si="4"/>
        <v>51911.3</v>
      </c>
    </row>
    <row r="11" ht="14.25" customHeight="1">
      <c r="A11" s="131">
        <v>7.0</v>
      </c>
      <c r="B11" s="132">
        <v>46110.0</v>
      </c>
      <c r="C11" s="146"/>
      <c r="D11" s="135">
        <f t="shared" si="1"/>
        <v>519.1</v>
      </c>
      <c r="E11" s="135">
        <f t="shared" si="2"/>
        <v>665.5</v>
      </c>
      <c r="F11" s="133">
        <f t="shared" si="3"/>
        <v>1184.6</v>
      </c>
      <c r="G11" s="135">
        <f t="shared" si="4"/>
        <v>51245.8</v>
      </c>
    </row>
    <row r="12" ht="14.25" customHeight="1">
      <c r="A12" s="131">
        <v>8.0</v>
      </c>
      <c r="B12" s="132">
        <v>46141.0</v>
      </c>
      <c r="C12" s="146"/>
      <c r="D12" s="135">
        <f t="shared" si="1"/>
        <v>512.5</v>
      </c>
      <c r="E12" s="135">
        <f t="shared" si="2"/>
        <v>665.5</v>
      </c>
      <c r="F12" s="133">
        <f t="shared" si="3"/>
        <v>1178</v>
      </c>
      <c r="G12" s="135">
        <f t="shared" si="4"/>
        <v>50580.3</v>
      </c>
    </row>
    <row r="13" ht="14.25" customHeight="1">
      <c r="A13" s="131">
        <v>9.0</v>
      </c>
      <c r="B13" s="132">
        <v>46171.0</v>
      </c>
      <c r="C13" s="146"/>
      <c r="D13" s="135">
        <f t="shared" si="1"/>
        <v>505.8</v>
      </c>
      <c r="E13" s="135">
        <f t="shared" si="2"/>
        <v>665.5</v>
      </c>
      <c r="F13" s="133">
        <f t="shared" si="3"/>
        <v>1171.3</v>
      </c>
      <c r="G13" s="135">
        <f t="shared" si="4"/>
        <v>49914.8</v>
      </c>
    </row>
    <row r="14" ht="14.25" customHeight="1">
      <c r="A14" s="131">
        <v>10.0</v>
      </c>
      <c r="B14" s="132">
        <v>46202.0</v>
      </c>
      <c r="C14" s="146"/>
      <c r="D14" s="135">
        <f t="shared" si="1"/>
        <v>499.1</v>
      </c>
      <c r="E14" s="135">
        <f t="shared" si="2"/>
        <v>665.5</v>
      </c>
      <c r="F14" s="133">
        <f t="shared" si="3"/>
        <v>1164.6</v>
      </c>
      <c r="G14" s="135">
        <f t="shared" si="4"/>
        <v>49249.3</v>
      </c>
    </row>
    <row r="15" ht="14.25" customHeight="1">
      <c r="A15" s="131">
        <v>11.0</v>
      </c>
      <c r="B15" s="132">
        <v>46232.0</v>
      </c>
      <c r="C15" s="146"/>
      <c r="D15" s="135">
        <f t="shared" si="1"/>
        <v>492.5</v>
      </c>
      <c r="E15" s="135">
        <f t="shared" si="2"/>
        <v>665.5</v>
      </c>
      <c r="F15" s="133">
        <f t="shared" si="3"/>
        <v>1158</v>
      </c>
      <c r="G15" s="135">
        <f t="shared" si="4"/>
        <v>48583.8</v>
      </c>
    </row>
    <row r="16" ht="14.25" customHeight="1">
      <c r="A16" s="131">
        <v>12.0</v>
      </c>
      <c r="B16" s="132">
        <v>46263.0</v>
      </c>
      <c r="C16" s="146"/>
      <c r="D16" s="135">
        <f t="shared" si="1"/>
        <v>485.8</v>
      </c>
      <c r="E16" s="135">
        <f t="shared" si="2"/>
        <v>665.5</v>
      </c>
      <c r="F16" s="133">
        <f t="shared" si="3"/>
        <v>1151.3</v>
      </c>
      <c r="G16" s="135">
        <f t="shared" si="4"/>
        <v>47918.3</v>
      </c>
    </row>
    <row r="17" ht="14.25" customHeight="1">
      <c r="A17" s="131">
        <v>13.0</v>
      </c>
      <c r="B17" s="132">
        <v>46294.0</v>
      </c>
      <c r="C17" s="146"/>
      <c r="D17" s="135">
        <f t="shared" si="1"/>
        <v>479.2</v>
      </c>
      <c r="E17" s="135">
        <f t="shared" si="2"/>
        <v>665.5</v>
      </c>
      <c r="F17" s="133">
        <f t="shared" si="3"/>
        <v>1144.7</v>
      </c>
      <c r="G17" s="135">
        <f t="shared" si="4"/>
        <v>47252.8</v>
      </c>
    </row>
    <row r="18" ht="14.25" customHeight="1">
      <c r="A18" s="131">
        <v>14.0</v>
      </c>
      <c r="B18" s="132">
        <v>46324.0</v>
      </c>
      <c r="C18" s="146"/>
      <c r="D18" s="135">
        <f t="shared" si="1"/>
        <v>472.5</v>
      </c>
      <c r="E18" s="135">
        <f t="shared" si="2"/>
        <v>665.5</v>
      </c>
      <c r="F18" s="133">
        <f t="shared" si="3"/>
        <v>1138</v>
      </c>
      <c r="G18" s="135">
        <f t="shared" si="4"/>
        <v>46587.3</v>
      </c>
    </row>
    <row r="19" ht="14.25" customHeight="1">
      <c r="A19" s="131">
        <v>15.0</v>
      </c>
      <c r="B19" s="132">
        <v>46355.0</v>
      </c>
      <c r="C19" s="146"/>
      <c r="D19" s="135">
        <f t="shared" si="1"/>
        <v>465.9</v>
      </c>
      <c r="E19" s="135">
        <f t="shared" si="2"/>
        <v>665.5</v>
      </c>
      <c r="F19" s="133">
        <f t="shared" si="3"/>
        <v>1131.4</v>
      </c>
      <c r="G19" s="135">
        <f t="shared" si="4"/>
        <v>45921.8</v>
      </c>
    </row>
    <row r="20" ht="14.25" customHeight="1">
      <c r="A20" s="131">
        <v>16.0</v>
      </c>
      <c r="B20" s="132">
        <v>46385.0</v>
      </c>
      <c r="C20" s="146"/>
      <c r="D20" s="135">
        <f t="shared" si="1"/>
        <v>459.2</v>
      </c>
      <c r="E20" s="135">
        <f t="shared" si="2"/>
        <v>665.5</v>
      </c>
      <c r="F20" s="133">
        <f t="shared" si="3"/>
        <v>1124.7</v>
      </c>
      <c r="G20" s="135">
        <f t="shared" si="4"/>
        <v>45256.3</v>
      </c>
    </row>
    <row r="21" ht="14.25" customHeight="1">
      <c r="A21" s="131">
        <v>17.0</v>
      </c>
      <c r="B21" s="132">
        <v>46416.0</v>
      </c>
      <c r="C21" s="146"/>
      <c r="D21" s="135">
        <f t="shared" si="1"/>
        <v>452.6</v>
      </c>
      <c r="E21" s="135">
        <f t="shared" si="2"/>
        <v>665.5</v>
      </c>
      <c r="F21" s="133">
        <f t="shared" si="3"/>
        <v>1118.1</v>
      </c>
      <c r="G21" s="135">
        <f t="shared" si="4"/>
        <v>44590.8</v>
      </c>
    </row>
    <row r="22" ht="14.25" customHeight="1">
      <c r="A22" s="131">
        <v>18.0</v>
      </c>
      <c r="B22" s="132">
        <v>46446.0</v>
      </c>
      <c r="C22" s="146"/>
      <c r="D22" s="135">
        <f t="shared" si="1"/>
        <v>445.9</v>
      </c>
      <c r="E22" s="135">
        <f t="shared" si="2"/>
        <v>665.5</v>
      </c>
      <c r="F22" s="133">
        <f t="shared" si="3"/>
        <v>1111.4</v>
      </c>
      <c r="G22" s="135">
        <f t="shared" si="4"/>
        <v>43925.3</v>
      </c>
    </row>
    <row r="23" ht="14.25" customHeight="1">
      <c r="A23" s="131">
        <v>19.0</v>
      </c>
      <c r="B23" s="132">
        <v>46475.0</v>
      </c>
      <c r="C23" s="146"/>
      <c r="D23" s="135">
        <f t="shared" si="1"/>
        <v>439.3</v>
      </c>
      <c r="E23" s="135">
        <f t="shared" si="2"/>
        <v>665.5</v>
      </c>
      <c r="F23" s="133">
        <f t="shared" si="3"/>
        <v>1104.8</v>
      </c>
      <c r="G23" s="135">
        <f t="shared" si="4"/>
        <v>43259.8</v>
      </c>
    </row>
    <row r="24" ht="14.25" customHeight="1">
      <c r="A24" s="131">
        <v>20.0</v>
      </c>
      <c r="B24" s="132">
        <v>46506.0</v>
      </c>
      <c r="C24" s="146"/>
      <c r="D24" s="135">
        <f t="shared" si="1"/>
        <v>432.6</v>
      </c>
      <c r="E24" s="135">
        <f t="shared" si="2"/>
        <v>665.5</v>
      </c>
      <c r="F24" s="133">
        <f t="shared" si="3"/>
        <v>1098.1</v>
      </c>
      <c r="G24" s="135">
        <f t="shared" si="4"/>
        <v>42594.3</v>
      </c>
    </row>
    <row r="25" ht="14.25" customHeight="1">
      <c r="A25" s="131">
        <v>21.0</v>
      </c>
      <c r="B25" s="132">
        <v>46536.0</v>
      </c>
      <c r="C25" s="146"/>
      <c r="D25" s="135">
        <f t="shared" si="1"/>
        <v>425.9</v>
      </c>
      <c r="E25" s="135">
        <f t="shared" si="2"/>
        <v>665.5</v>
      </c>
      <c r="F25" s="133">
        <f t="shared" si="3"/>
        <v>1091.4</v>
      </c>
      <c r="G25" s="135">
        <f t="shared" si="4"/>
        <v>41928.8</v>
      </c>
    </row>
    <row r="26" ht="14.25" customHeight="1">
      <c r="A26" s="131">
        <v>22.0</v>
      </c>
      <c r="B26" s="132">
        <v>46567.0</v>
      </c>
      <c r="C26" s="146"/>
      <c r="D26" s="135">
        <f t="shared" si="1"/>
        <v>419.3</v>
      </c>
      <c r="E26" s="135">
        <f t="shared" si="2"/>
        <v>665.5</v>
      </c>
      <c r="F26" s="133">
        <f t="shared" si="3"/>
        <v>1084.8</v>
      </c>
      <c r="G26" s="135">
        <f t="shared" si="4"/>
        <v>41263.3</v>
      </c>
    </row>
    <row r="27" ht="14.25" customHeight="1">
      <c r="A27" s="131">
        <v>23.0</v>
      </c>
      <c r="B27" s="132">
        <v>46597.0</v>
      </c>
      <c r="C27" s="146"/>
      <c r="D27" s="135">
        <f t="shared" si="1"/>
        <v>412.6</v>
      </c>
      <c r="E27" s="135">
        <f t="shared" si="2"/>
        <v>665.5</v>
      </c>
      <c r="F27" s="133">
        <f t="shared" si="3"/>
        <v>1078.1</v>
      </c>
      <c r="G27" s="135">
        <f t="shared" si="4"/>
        <v>40597.8</v>
      </c>
    </row>
    <row r="28" ht="14.25" customHeight="1">
      <c r="A28" s="131">
        <v>24.0</v>
      </c>
      <c r="B28" s="132">
        <v>46628.0</v>
      </c>
      <c r="C28" s="146"/>
      <c r="D28" s="135">
        <f t="shared" si="1"/>
        <v>406</v>
      </c>
      <c r="E28" s="135">
        <f t="shared" si="2"/>
        <v>665.5</v>
      </c>
      <c r="F28" s="133">
        <f t="shared" si="3"/>
        <v>1071.5</v>
      </c>
      <c r="G28" s="135">
        <f t="shared" si="4"/>
        <v>39932.3</v>
      </c>
    </row>
    <row r="29" ht="14.25" customHeight="1">
      <c r="A29" s="131">
        <v>25.0</v>
      </c>
      <c r="B29" s="132">
        <v>46659.0</v>
      </c>
      <c r="C29" s="146"/>
      <c r="D29" s="135">
        <f t="shared" si="1"/>
        <v>399.3</v>
      </c>
      <c r="E29" s="135">
        <f t="shared" si="2"/>
        <v>665.5</v>
      </c>
      <c r="F29" s="133">
        <f t="shared" si="3"/>
        <v>1064.8</v>
      </c>
      <c r="G29" s="135">
        <f t="shared" si="4"/>
        <v>39266.8</v>
      </c>
    </row>
    <row r="30" ht="14.25" customHeight="1">
      <c r="A30" s="131">
        <v>26.0</v>
      </c>
      <c r="B30" s="132">
        <v>46689.0</v>
      </c>
      <c r="C30" s="146"/>
      <c r="D30" s="135">
        <f t="shared" si="1"/>
        <v>392.7</v>
      </c>
      <c r="E30" s="135">
        <f t="shared" si="2"/>
        <v>665.5</v>
      </c>
      <c r="F30" s="133">
        <f t="shared" si="3"/>
        <v>1058.2</v>
      </c>
      <c r="G30" s="135">
        <f t="shared" si="4"/>
        <v>38601.3</v>
      </c>
    </row>
    <row r="31" ht="14.25" customHeight="1">
      <c r="A31" s="131">
        <v>27.0</v>
      </c>
      <c r="B31" s="132">
        <v>46720.0</v>
      </c>
      <c r="C31" s="146"/>
      <c r="D31" s="135">
        <f t="shared" si="1"/>
        <v>386</v>
      </c>
      <c r="E31" s="135">
        <f t="shared" si="2"/>
        <v>665.5</v>
      </c>
      <c r="F31" s="133">
        <f t="shared" si="3"/>
        <v>1051.5</v>
      </c>
      <c r="G31" s="135">
        <f t="shared" si="4"/>
        <v>37935.8</v>
      </c>
    </row>
    <row r="32" ht="14.25" customHeight="1">
      <c r="A32" s="131">
        <v>28.0</v>
      </c>
      <c r="B32" s="132">
        <v>46750.0</v>
      </c>
      <c r="C32" s="146"/>
      <c r="D32" s="135">
        <f t="shared" si="1"/>
        <v>379.4</v>
      </c>
      <c r="E32" s="135">
        <f t="shared" si="2"/>
        <v>665.5</v>
      </c>
      <c r="F32" s="133">
        <f t="shared" si="3"/>
        <v>1044.9</v>
      </c>
      <c r="G32" s="135">
        <f t="shared" si="4"/>
        <v>37270.3</v>
      </c>
    </row>
    <row r="33" ht="14.25" customHeight="1">
      <c r="A33" s="131">
        <v>29.0</v>
      </c>
      <c r="B33" s="132">
        <v>46781.0</v>
      </c>
      <c r="C33" s="146"/>
      <c r="D33" s="135">
        <f t="shared" si="1"/>
        <v>372.7</v>
      </c>
      <c r="E33" s="135">
        <f t="shared" si="2"/>
        <v>665.5</v>
      </c>
      <c r="F33" s="133">
        <f t="shared" si="3"/>
        <v>1038.2</v>
      </c>
      <c r="G33" s="135">
        <f t="shared" si="4"/>
        <v>36604.8</v>
      </c>
    </row>
    <row r="34" ht="14.25" customHeight="1">
      <c r="A34" s="131">
        <v>30.0</v>
      </c>
      <c r="B34" s="132">
        <v>46812.0</v>
      </c>
      <c r="C34" s="146"/>
      <c r="D34" s="135">
        <f t="shared" si="1"/>
        <v>366</v>
      </c>
      <c r="E34" s="135">
        <f t="shared" si="2"/>
        <v>665.5</v>
      </c>
      <c r="F34" s="133">
        <f t="shared" si="3"/>
        <v>1031.5</v>
      </c>
      <c r="G34" s="135">
        <f t="shared" si="4"/>
        <v>35939.3</v>
      </c>
    </row>
    <row r="35" ht="14.25" customHeight="1">
      <c r="A35" s="131">
        <v>31.0</v>
      </c>
      <c r="B35" s="132">
        <v>46841.0</v>
      </c>
      <c r="C35" s="146"/>
      <c r="D35" s="135">
        <f t="shared" si="1"/>
        <v>359.4</v>
      </c>
      <c r="E35" s="135">
        <f t="shared" si="2"/>
        <v>665.5</v>
      </c>
      <c r="F35" s="133">
        <f t="shared" si="3"/>
        <v>1024.9</v>
      </c>
      <c r="G35" s="135">
        <f t="shared" si="4"/>
        <v>35273.8</v>
      </c>
    </row>
    <row r="36" ht="14.25" customHeight="1">
      <c r="A36" s="131">
        <v>32.0</v>
      </c>
      <c r="B36" s="132">
        <v>46872.0</v>
      </c>
      <c r="C36" s="146"/>
      <c r="D36" s="135">
        <f t="shared" si="1"/>
        <v>352.7</v>
      </c>
      <c r="E36" s="135">
        <f t="shared" si="2"/>
        <v>665.5</v>
      </c>
      <c r="F36" s="133">
        <f t="shared" si="3"/>
        <v>1018.2</v>
      </c>
      <c r="G36" s="135">
        <f t="shared" si="4"/>
        <v>34608.3</v>
      </c>
    </row>
    <row r="37" ht="14.25" customHeight="1">
      <c r="A37" s="131">
        <v>33.0</v>
      </c>
      <c r="B37" s="132">
        <v>46902.0</v>
      </c>
      <c r="C37" s="146"/>
      <c r="D37" s="135">
        <f t="shared" si="1"/>
        <v>346.1</v>
      </c>
      <c r="E37" s="135">
        <f t="shared" si="2"/>
        <v>665.5</v>
      </c>
      <c r="F37" s="133">
        <f t="shared" si="3"/>
        <v>1011.6</v>
      </c>
      <c r="G37" s="135">
        <f t="shared" si="4"/>
        <v>33942.8</v>
      </c>
    </row>
    <row r="38" ht="14.25" customHeight="1">
      <c r="A38" s="131">
        <v>34.0</v>
      </c>
      <c r="B38" s="132">
        <v>46933.0</v>
      </c>
      <c r="C38" s="146"/>
      <c r="D38" s="135">
        <f t="shared" si="1"/>
        <v>339.4</v>
      </c>
      <c r="E38" s="135">
        <f t="shared" si="2"/>
        <v>665.5</v>
      </c>
      <c r="F38" s="133">
        <f t="shared" si="3"/>
        <v>1004.9</v>
      </c>
      <c r="G38" s="135">
        <f t="shared" si="4"/>
        <v>33277.3</v>
      </c>
    </row>
    <row r="39" ht="14.25" customHeight="1">
      <c r="A39" s="131">
        <v>35.0</v>
      </c>
      <c r="B39" s="132">
        <v>46963.0</v>
      </c>
      <c r="C39" s="146"/>
      <c r="D39" s="135">
        <f t="shared" si="1"/>
        <v>332.8</v>
      </c>
      <c r="E39" s="135">
        <f t="shared" si="2"/>
        <v>665.5</v>
      </c>
      <c r="F39" s="133">
        <f t="shared" si="3"/>
        <v>998.3</v>
      </c>
      <c r="G39" s="135">
        <f t="shared" si="4"/>
        <v>32611.8</v>
      </c>
    </row>
    <row r="40" ht="14.25" customHeight="1">
      <c r="A40" s="131">
        <v>36.0</v>
      </c>
      <c r="B40" s="132">
        <v>46994.0</v>
      </c>
      <c r="C40" s="146"/>
      <c r="D40" s="135">
        <f t="shared" si="1"/>
        <v>326.1</v>
      </c>
      <c r="E40" s="135">
        <f t="shared" si="2"/>
        <v>665.5</v>
      </c>
      <c r="F40" s="133">
        <f t="shared" si="3"/>
        <v>991.6</v>
      </c>
      <c r="G40" s="135">
        <f t="shared" si="4"/>
        <v>31946.3</v>
      </c>
    </row>
    <row r="41" ht="14.25" customHeight="1">
      <c r="A41" s="131">
        <v>37.0</v>
      </c>
      <c r="B41" s="132">
        <v>47025.0</v>
      </c>
      <c r="C41" s="146"/>
      <c r="D41" s="135">
        <f t="shared" si="1"/>
        <v>319.5</v>
      </c>
      <c r="E41" s="135">
        <f t="shared" si="2"/>
        <v>665.5</v>
      </c>
      <c r="F41" s="133">
        <f t="shared" si="3"/>
        <v>985</v>
      </c>
      <c r="G41" s="135">
        <f t="shared" si="4"/>
        <v>31280.8</v>
      </c>
    </row>
    <row r="42" ht="14.25" customHeight="1">
      <c r="A42" s="131">
        <v>38.0</v>
      </c>
      <c r="B42" s="132">
        <v>47055.0</v>
      </c>
      <c r="C42" s="146"/>
      <c r="D42" s="135">
        <f t="shared" si="1"/>
        <v>312.8</v>
      </c>
      <c r="E42" s="135">
        <f t="shared" si="2"/>
        <v>665.5</v>
      </c>
      <c r="F42" s="133">
        <f t="shared" si="3"/>
        <v>978.3</v>
      </c>
      <c r="G42" s="135">
        <f t="shared" si="4"/>
        <v>30615.3</v>
      </c>
    </row>
    <row r="43" ht="14.25" customHeight="1">
      <c r="A43" s="131">
        <v>39.0</v>
      </c>
      <c r="B43" s="132">
        <v>47086.0</v>
      </c>
      <c r="C43" s="146"/>
      <c r="D43" s="135">
        <f t="shared" si="1"/>
        <v>306.2</v>
      </c>
      <c r="E43" s="135">
        <f t="shared" si="2"/>
        <v>665.5</v>
      </c>
      <c r="F43" s="133">
        <f t="shared" si="3"/>
        <v>971.7</v>
      </c>
      <c r="G43" s="135">
        <f t="shared" si="4"/>
        <v>29949.8</v>
      </c>
    </row>
    <row r="44" ht="14.25" customHeight="1">
      <c r="A44" s="131">
        <v>40.0</v>
      </c>
      <c r="B44" s="132">
        <v>47116.0</v>
      </c>
      <c r="C44" s="146"/>
      <c r="D44" s="135">
        <f t="shared" si="1"/>
        <v>299.5</v>
      </c>
      <c r="E44" s="135">
        <f t="shared" si="2"/>
        <v>665.5</v>
      </c>
      <c r="F44" s="133">
        <f t="shared" si="3"/>
        <v>965</v>
      </c>
      <c r="G44" s="135">
        <f t="shared" si="4"/>
        <v>29284.3</v>
      </c>
    </row>
    <row r="45" ht="14.25" customHeight="1">
      <c r="A45" s="131">
        <v>41.0</v>
      </c>
      <c r="B45" s="132">
        <v>47147.0</v>
      </c>
      <c r="C45" s="146"/>
      <c r="D45" s="135">
        <f t="shared" si="1"/>
        <v>292.8</v>
      </c>
      <c r="E45" s="135">
        <f t="shared" si="2"/>
        <v>665.5</v>
      </c>
      <c r="F45" s="133">
        <f t="shared" si="3"/>
        <v>958.3</v>
      </c>
      <c r="G45" s="135">
        <f t="shared" si="4"/>
        <v>28618.8</v>
      </c>
    </row>
    <row r="46" ht="14.25" customHeight="1">
      <c r="A46" s="131">
        <v>42.0</v>
      </c>
      <c r="B46" s="132">
        <v>47177.0</v>
      </c>
      <c r="C46" s="146"/>
      <c r="D46" s="135">
        <f t="shared" si="1"/>
        <v>286.2</v>
      </c>
      <c r="E46" s="135">
        <f t="shared" si="2"/>
        <v>665.5</v>
      </c>
      <c r="F46" s="133">
        <f t="shared" si="3"/>
        <v>951.7</v>
      </c>
      <c r="G46" s="135">
        <f t="shared" si="4"/>
        <v>27953.3</v>
      </c>
    </row>
    <row r="47" ht="14.25" customHeight="1">
      <c r="A47" s="131">
        <v>43.0</v>
      </c>
      <c r="B47" s="132">
        <v>47206.0</v>
      </c>
      <c r="C47" s="146"/>
      <c r="D47" s="135">
        <f t="shared" si="1"/>
        <v>279.5</v>
      </c>
      <c r="E47" s="135">
        <f t="shared" si="2"/>
        <v>665.5</v>
      </c>
      <c r="F47" s="133">
        <f t="shared" si="3"/>
        <v>945</v>
      </c>
      <c r="G47" s="135">
        <f t="shared" si="4"/>
        <v>27287.8</v>
      </c>
    </row>
    <row r="48" ht="14.25" customHeight="1">
      <c r="A48" s="131">
        <v>44.0</v>
      </c>
      <c r="B48" s="132">
        <v>47237.0</v>
      </c>
      <c r="C48" s="146"/>
      <c r="D48" s="135">
        <f t="shared" si="1"/>
        <v>272.9</v>
      </c>
      <c r="E48" s="135">
        <f t="shared" si="2"/>
        <v>665.5</v>
      </c>
      <c r="F48" s="133">
        <f t="shared" si="3"/>
        <v>938.4</v>
      </c>
      <c r="G48" s="135">
        <f t="shared" si="4"/>
        <v>26622.3</v>
      </c>
    </row>
    <row r="49" ht="14.25" customHeight="1">
      <c r="A49" s="131">
        <v>45.0</v>
      </c>
      <c r="B49" s="132">
        <v>47267.0</v>
      </c>
      <c r="C49" s="146"/>
      <c r="D49" s="135">
        <f t="shared" si="1"/>
        <v>266.2</v>
      </c>
      <c r="E49" s="135">
        <f t="shared" si="2"/>
        <v>665.5</v>
      </c>
      <c r="F49" s="133">
        <f t="shared" si="3"/>
        <v>931.7</v>
      </c>
      <c r="G49" s="135">
        <f t="shared" si="4"/>
        <v>25956.8</v>
      </c>
    </row>
    <row r="50" ht="14.25" customHeight="1">
      <c r="A50" s="131">
        <v>46.0</v>
      </c>
      <c r="B50" s="132">
        <v>47298.0</v>
      </c>
      <c r="C50" s="146"/>
      <c r="D50" s="135">
        <f t="shared" si="1"/>
        <v>259.6</v>
      </c>
      <c r="E50" s="135">
        <f t="shared" si="2"/>
        <v>665.5</v>
      </c>
      <c r="F50" s="133">
        <f t="shared" si="3"/>
        <v>925.1</v>
      </c>
      <c r="G50" s="135">
        <f t="shared" si="4"/>
        <v>25291.3</v>
      </c>
    </row>
    <row r="51" ht="14.25" customHeight="1">
      <c r="A51" s="131">
        <v>47.0</v>
      </c>
      <c r="B51" s="132">
        <v>47328.0</v>
      </c>
      <c r="C51" s="146"/>
      <c r="D51" s="135">
        <f t="shared" si="1"/>
        <v>252.9</v>
      </c>
      <c r="E51" s="135">
        <f t="shared" si="2"/>
        <v>665.5</v>
      </c>
      <c r="F51" s="133">
        <f t="shared" si="3"/>
        <v>918.4</v>
      </c>
      <c r="G51" s="135">
        <f t="shared" si="4"/>
        <v>24625.8</v>
      </c>
    </row>
    <row r="52" ht="14.25" customHeight="1">
      <c r="A52" s="131">
        <v>48.0</v>
      </c>
      <c r="B52" s="132">
        <v>47359.0</v>
      </c>
      <c r="C52" s="146"/>
      <c r="D52" s="135">
        <f t="shared" si="1"/>
        <v>246.3</v>
      </c>
      <c r="E52" s="135">
        <f t="shared" si="2"/>
        <v>665.5</v>
      </c>
      <c r="F52" s="133">
        <f t="shared" si="3"/>
        <v>911.8</v>
      </c>
      <c r="G52" s="135">
        <f t="shared" si="4"/>
        <v>23960.3</v>
      </c>
    </row>
    <row r="53" ht="14.25" customHeight="1">
      <c r="A53" s="131">
        <v>49.0</v>
      </c>
      <c r="B53" s="132">
        <v>47390.0</v>
      </c>
      <c r="C53" s="146"/>
      <c r="D53" s="135">
        <f t="shared" si="1"/>
        <v>239.6</v>
      </c>
      <c r="E53" s="135">
        <f t="shared" si="2"/>
        <v>665.5</v>
      </c>
      <c r="F53" s="133">
        <f t="shared" si="3"/>
        <v>905.1</v>
      </c>
      <c r="G53" s="135">
        <f t="shared" si="4"/>
        <v>23294.8</v>
      </c>
    </row>
    <row r="54" ht="14.25" customHeight="1">
      <c r="A54" s="131">
        <v>50.0</v>
      </c>
      <c r="B54" s="132">
        <v>47420.0</v>
      </c>
      <c r="C54" s="146"/>
      <c r="D54" s="135">
        <f t="shared" si="1"/>
        <v>232.9</v>
      </c>
      <c r="E54" s="135">
        <f t="shared" si="2"/>
        <v>665.5</v>
      </c>
      <c r="F54" s="133">
        <f t="shared" si="3"/>
        <v>898.4</v>
      </c>
      <c r="G54" s="135">
        <f t="shared" si="4"/>
        <v>22629.3</v>
      </c>
    </row>
    <row r="55" ht="14.25" customHeight="1">
      <c r="A55" s="131">
        <v>51.0</v>
      </c>
      <c r="B55" s="132">
        <v>47451.0</v>
      </c>
      <c r="C55" s="146"/>
      <c r="D55" s="135">
        <f t="shared" si="1"/>
        <v>226.3</v>
      </c>
      <c r="E55" s="135">
        <f t="shared" si="2"/>
        <v>665.5</v>
      </c>
      <c r="F55" s="133">
        <f t="shared" si="3"/>
        <v>891.8</v>
      </c>
      <c r="G55" s="135">
        <f t="shared" si="4"/>
        <v>21963.8</v>
      </c>
    </row>
    <row r="56" ht="14.25" customHeight="1">
      <c r="A56" s="131">
        <v>52.0</v>
      </c>
      <c r="B56" s="132">
        <v>47481.0</v>
      </c>
      <c r="C56" s="146"/>
      <c r="D56" s="135">
        <f t="shared" si="1"/>
        <v>219.6</v>
      </c>
      <c r="E56" s="135">
        <f t="shared" si="2"/>
        <v>665.5</v>
      </c>
      <c r="F56" s="133">
        <f t="shared" si="3"/>
        <v>885.1</v>
      </c>
      <c r="G56" s="135">
        <f t="shared" si="4"/>
        <v>21298.3</v>
      </c>
    </row>
    <row r="57" ht="14.25" customHeight="1">
      <c r="A57" s="131">
        <v>53.0</v>
      </c>
      <c r="B57" s="132">
        <v>47512.0</v>
      </c>
      <c r="C57" s="146"/>
      <c r="D57" s="135">
        <f t="shared" si="1"/>
        <v>213</v>
      </c>
      <c r="E57" s="135">
        <f t="shared" si="2"/>
        <v>665.5</v>
      </c>
      <c r="F57" s="133">
        <f t="shared" si="3"/>
        <v>878.5</v>
      </c>
      <c r="G57" s="135">
        <f t="shared" si="4"/>
        <v>20632.8</v>
      </c>
    </row>
    <row r="58" ht="14.25" customHeight="1">
      <c r="A58" s="131">
        <v>54.0</v>
      </c>
      <c r="B58" s="132">
        <v>47542.0</v>
      </c>
      <c r="C58" s="146"/>
      <c r="D58" s="135">
        <f t="shared" si="1"/>
        <v>206.3</v>
      </c>
      <c r="E58" s="135">
        <f t="shared" si="2"/>
        <v>665.5</v>
      </c>
      <c r="F58" s="133">
        <f t="shared" si="3"/>
        <v>871.8</v>
      </c>
      <c r="G58" s="135">
        <f t="shared" si="4"/>
        <v>19967.3</v>
      </c>
    </row>
    <row r="59" ht="14.25" customHeight="1">
      <c r="A59" s="131">
        <v>55.0</v>
      </c>
      <c r="B59" s="132">
        <v>47571.0</v>
      </c>
      <c r="C59" s="146"/>
      <c r="D59" s="135">
        <f t="shared" si="1"/>
        <v>199.7</v>
      </c>
      <c r="E59" s="135">
        <f t="shared" si="2"/>
        <v>665.5</v>
      </c>
      <c r="F59" s="133">
        <f t="shared" si="3"/>
        <v>865.2</v>
      </c>
      <c r="G59" s="135">
        <f t="shared" si="4"/>
        <v>19301.8</v>
      </c>
    </row>
    <row r="60" ht="14.25" customHeight="1">
      <c r="A60" s="131">
        <v>56.0</v>
      </c>
      <c r="B60" s="132">
        <v>47602.0</v>
      </c>
      <c r="C60" s="146"/>
      <c r="D60" s="135">
        <f t="shared" si="1"/>
        <v>193</v>
      </c>
      <c r="E60" s="135">
        <f t="shared" si="2"/>
        <v>665.5</v>
      </c>
      <c r="F60" s="133">
        <f t="shared" si="3"/>
        <v>858.5</v>
      </c>
      <c r="G60" s="135">
        <f t="shared" si="4"/>
        <v>18636.3</v>
      </c>
    </row>
    <row r="61" ht="14.25" customHeight="1">
      <c r="A61" s="131">
        <v>57.0</v>
      </c>
      <c r="B61" s="132">
        <v>47632.0</v>
      </c>
      <c r="C61" s="146"/>
      <c r="D61" s="135">
        <f t="shared" si="1"/>
        <v>186.4</v>
      </c>
      <c r="E61" s="135">
        <f t="shared" si="2"/>
        <v>665.5</v>
      </c>
      <c r="F61" s="133">
        <f t="shared" si="3"/>
        <v>851.9</v>
      </c>
      <c r="G61" s="135">
        <f t="shared" si="4"/>
        <v>17970.8</v>
      </c>
    </row>
    <row r="62" ht="14.25" customHeight="1">
      <c r="A62" s="131">
        <v>58.0</v>
      </c>
      <c r="B62" s="132">
        <v>47663.0</v>
      </c>
      <c r="C62" s="146"/>
      <c r="D62" s="135">
        <f t="shared" si="1"/>
        <v>179.7</v>
      </c>
      <c r="E62" s="135">
        <f t="shared" si="2"/>
        <v>665.5</v>
      </c>
      <c r="F62" s="133">
        <f t="shared" si="3"/>
        <v>845.2</v>
      </c>
      <c r="G62" s="135">
        <f t="shared" si="4"/>
        <v>17305.3</v>
      </c>
    </row>
    <row r="63" ht="14.25" customHeight="1">
      <c r="A63" s="131">
        <v>59.0</v>
      </c>
      <c r="B63" s="132">
        <v>47693.0</v>
      </c>
      <c r="C63" s="146"/>
      <c r="D63" s="135">
        <f t="shared" si="1"/>
        <v>173.1</v>
      </c>
      <c r="E63" s="135">
        <f t="shared" si="2"/>
        <v>665.5</v>
      </c>
      <c r="F63" s="133">
        <f t="shared" si="3"/>
        <v>838.6</v>
      </c>
      <c r="G63" s="135">
        <f t="shared" si="4"/>
        <v>16639.8</v>
      </c>
    </row>
    <row r="64" ht="14.25" customHeight="1">
      <c r="A64" s="131">
        <v>60.0</v>
      </c>
      <c r="B64" s="132">
        <v>47724.0</v>
      </c>
      <c r="C64" s="146"/>
      <c r="D64" s="135">
        <f t="shared" si="1"/>
        <v>166.4</v>
      </c>
      <c r="E64" s="135">
        <f t="shared" si="2"/>
        <v>665.5</v>
      </c>
      <c r="F64" s="133">
        <f t="shared" si="3"/>
        <v>831.9</v>
      </c>
      <c r="G64" s="135">
        <f t="shared" si="4"/>
        <v>15974.3</v>
      </c>
    </row>
    <row r="65" ht="14.25" customHeight="1">
      <c r="A65" s="131">
        <v>61.0</v>
      </c>
      <c r="B65" s="132">
        <v>47755.0</v>
      </c>
      <c r="C65" s="146"/>
      <c r="D65" s="135">
        <f t="shared" si="1"/>
        <v>159.7</v>
      </c>
      <c r="E65" s="135">
        <f t="shared" si="2"/>
        <v>665.5</v>
      </c>
      <c r="F65" s="133">
        <f t="shared" si="3"/>
        <v>825.2</v>
      </c>
      <c r="G65" s="135">
        <f t="shared" si="4"/>
        <v>15308.8</v>
      </c>
    </row>
    <row r="66" ht="14.25" customHeight="1">
      <c r="A66" s="131">
        <v>62.0</v>
      </c>
      <c r="B66" s="132">
        <v>47785.0</v>
      </c>
      <c r="C66" s="146"/>
      <c r="D66" s="135">
        <f t="shared" si="1"/>
        <v>153.1</v>
      </c>
      <c r="E66" s="135">
        <f t="shared" si="2"/>
        <v>665.5</v>
      </c>
      <c r="F66" s="133">
        <f t="shared" si="3"/>
        <v>818.6</v>
      </c>
      <c r="G66" s="135">
        <f t="shared" si="4"/>
        <v>14643.3</v>
      </c>
    </row>
    <row r="67" ht="14.25" customHeight="1">
      <c r="A67" s="131">
        <v>63.0</v>
      </c>
      <c r="B67" s="132">
        <v>47816.0</v>
      </c>
      <c r="C67" s="146"/>
      <c r="D67" s="135">
        <f t="shared" si="1"/>
        <v>146.4</v>
      </c>
      <c r="E67" s="135">
        <f t="shared" si="2"/>
        <v>665.5</v>
      </c>
      <c r="F67" s="133">
        <f t="shared" si="3"/>
        <v>811.9</v>
      </c>
      <c r="G67" s="135">
        <f t="shared" si="4"/>
        <v>13977.8</v>
      </c>
    </row>
    <row r="68" ht="14.25" customHeight="1">
      <c r="A68" s="131">
        <v>64.0</v>
      </c>
      <c r="B68" s="132">
        <v>47846.0</v>
      </c>
      <c r="C68" s="146"/>
      <c r="D68" s="135">
        <f t="shared" si="1"/>
        <v>139.8</v>
      </c>
      <c r="E68" s="135">
        <f t="shared" si="2"/>
        <v>665.5</v>
      </c>
      <c r="F68" s="133">
        <f t="shared" si="3"/>
        <v>805.3</v>
      </c>
      <c r="G68" s="135">
        <f t="shared" si="4"/>
        <v>13312.3</v>
      </c>
    </row>
    <row r="69" ht="14.25" customHeight="1">
      <c r="A69" s="131">
        <v>65.0</v>
      </c>
      <c r="B69" s="132">
        <v>47877.0</v>
      </c>
      <c r="C69" s="146"/>
      <c r="D69" s="135">
        <f t="shared" si="1"/>
        <v>133.1</v>
      </c>
      <c r="E69" s="135">
        <f t="shared" si="2"/>
        <v>665.5</v>
      </c>
      <c r="F69" s="133">
        <f t="shared" si="3"/>
        <v>798.6</v>
      </c>
      <c r="G69" s="135">
        <f t="shared" si="4"/>
        <v>12646.8</v>
      </c>
    </row>
    <row r="70" ht="14.25" customHeight="1">
      <c r="A70" s="131">
        <v>66.0</v>
      </c>
      <c r="B70" s="132">
        <v>47907.0</v>
      </c>
      <c r="C70" s="146"/>
      <c r="D70" s="135">
        <f t="shared" si="1"/>
        <v>126.5</v>
      </c>
      <c r="E70" s="135">
        <f t="shared" si="2"/>
        <v>665.5</v>
      </c>
      <c r="F70" s="133">
        <f t="shared" si="3"/>
        <v>792</v>
      </c>
      <c r="G70" s="135">
        <f t="shared" si="4"/>
        <v>11981.3</v>
      </c>
    </row>
    <row r="71" ht="14.25" customHeight="1">
      <c r="A71" s="131">
        <v>67.0</v>
      </c>
      <c r="B71" s="132">
        <v>47936.0</v>
      </c>
      <c r="C71" s="146"/>
      <c r="D71" s="135">
        <f t="shared" si="1"/>
        <v>119.8</v>
      </c>
      <c r="E71" s="135">
        <f t="shared" si="2"/>
        <v>665.5</v>
      </c>
      <c r="F71" s="133">
        <f t="shared" si="3"/>
        <v>785.3</v>
      </c>
      <c r="G71" s="135">
        <f t="shared" si="4"/>
        <v>11315.8</v>
      </c>
    </row>
    <row r="72" ht="14.25" customHeight="1">
      <c r="A72" s="131">
        <v>68.0</v>
      </c>
      <c r="B72" s="132">
        <v>47967.0</v>
      </c>
      <c r="C72" s="146"/>
      <c r="D72" s="135">
        <f t="shared" si="1"/>
        <v>113.2</v>
      </c>
      <c r="E72" s="135">
        <f t="shared" si="2"/>
        <v>665.5</v>
      </c>
      <c r="F72" s="133">
        <f t="shared" si="3"/>
        <v>778.7</v>
      </c>
      <c r="G72" s="135">
        <f t="shared" si="4"/>
        <v>10650.3</v>
      </c>
    </row>
    <row r="73" ht="14.25" customHeight="1">
      <c r="A73" s="131">
        <v>69.0</v>
      </c>
      <c r="B73" s="132">
        <v>47997.0</v>
      </c>
      <c r="C73" s="146"/>
      <c r="D73" s="135">
        <f t="shared" si="1"/>
        <v>106.5</v>
      </c>
      <c r="E73" s="135">
        <f t="shared" si="2"/>
        <v>665.5</v>
      </c>
      <c r="F73" s="133">
        <f t="shared" si="3"/>
        <v>772</v>
      </c>
      <c r="G73" s="135">
        <f t="shared" si="4"/>
        <v>9984.8</v>
      </c>
    </row>
    <row r="74" ht="14.25" customHeight="1">
      <c r="A74" s="131">
        <v>70.0</v>
      </c>
      <c r="B74" s="132">
        <v>48028.0</v>
      </c>
      <c r="C74" s="146"/>
      <c r="D74" s="135">
        <f t="shared" si="1"/>
        <v>99.8</v>
      </c>
      <c r="E74" s="135">
        <f t="shared" si="2"/>
        <v>665.5</v>
      </c>
      <c r="F74" s="133">
        <f t="shared" si="3"/>
        <v>765.3</v>
      </c>
      <c r="G74" s="135">
        <f t="shared" si="4"/>
        <v>9319.3</v>
      </c>
    </row>
    <row r="75" ht="14.25" customHeight="1">
      <c r="A75" s="131">
        <v>71.0</v>
      </c>
      <c r="B75" s="132">
        <v>48058.0</v>
      </c>
      <c r="C75" s="146"/>
      <c r="D75" s="135">
        <f t="shared" si="1"/>
        <v>93.2</v>
      </c>
      <c r="E75" s="135">
        <f t="shared" si="2"/>
        <v>665.5</v>
      </c>
      <c r="F75" s="133">
        <f t="shared" si="3"/>
        <v>758.7</v>
      </c>
      <c r="G75" s="135">
        <f t="shared" si="4"/>
        <v>8653.8</v>
      </c>
    </row>
    <row r="76" ht="14.25" customHeight="1">
      <c r="A76" s="131">
        <v>72.0</v>
      </c>
      <c r="B76" s="132">
        <v>48089.0</v>
      </c>
      <c r="C76" s="146"/>
      <c r="D76" s="135">
        <f t="shared" si="1"/>
        <v>86.5</v>
      </c>
      <c r="E76" s="135">
        <f t="shared" si="2"/>
        <v>665.5</v>
      </c>
      <c r="F76" s="133">
        <f t="shared" si="3"/>
        <v>752</v>
      </c>
      <c r="G76" s="135">
        <f t="shared" si="4"/>
        <v>7988.3</v>
      </c>
    </row>
    <row r="77" ht="14.25" customHeight="1">
      <c r="A77" s="131">
        <v>73.0</v>
      </c>
      <c r="B77" s="132">
        <v>48120.0</v>
      </c>
      <c r="C77" s="146"/>
      <c r="D77" s="135">
        <f t="shared" si="1"/>
        <v>79.9</v>
      </c>
      <c r="E77" s="135">
        <f t="shared" si="2"/>
        <v>665.5</v>
      </c>
      <c r="F77" s="133">
        <f t="shared" si="3"/>
        <v>745.4</v>
      </c>
      <c r="G77" s="135">
        <f t="shared" si="4"/>
        <v>7322.8</v>
      </c>
    </row>
    <row r="78" ht="14.25" customHeight="1">
      <c r="A78" s="131">
        <v>74.0</v>
      </c>
      <c r="B78" s="132">
        <v>48150.0</v>
      </c>
      <c r="C78" s="146"/>
      <c r="D78" s="135">
        <f t="shared" si="1"/>
        <v>73.2</v>
      </c>
      <c r="E78" s="135">
        <f t="shared" si="2"/>
        <v>665.5</v>
      </c>
      <c r="F78" s="133">
        <f t="shared" si="3"/>
        <v>738.7</v>
      </c>
      <c r="G78" s="135">
        <f t="shared" si="4"/>
        <v>6657.3</v>
      </c>
    </row>
    <row r="79" ht="14.25" customHeight="1">
      <c r="A79" s="131">
        <v>75.0</v>
      </c>
      <c r="B79" s="132">
        <v>48181.0</v>
      </c>
      <c r="C79" s="146"/>
      <c r="D79" s="135">
        <f t="shared" si="1"/>
        <v>66.6</v>
      </c>
      <c r="E79" s="135">
        <f t="shared" si="2"/>
        <v>665.5</v>
      </c>
      <c r="F79" s="133">
        <f t="shared" si="3"/>
        <v>732.1</v>
      </c>
      <c r="G79" s="135">
        <f t="shared" si="4"/>
        <v>5991.8</v>
      </c>
    </row>
    <row r="80" ht="14.25" customHeight="1">
      <c r="A80" s="131">
        <v>76.0</v>
      </c>
      <c r="B80" s="132">
        <v>48211.0</v>
      </c>
      <c r="C80" s="146"/>
      <c r="D80" s="135">
        <f t="shared" si="1"/>
        <v>59.9</v>
      </c>
      <c r="E80" s="135">
        <f t="shared" si="2"/>
        <v>665.5</v>
      </c>
      <c r="F80" s="133">
        <f t="shared" si="3"/>
        <v>725.4</v>
      </c>
      <c r="G80" s="135">
        <f t="shared" si="4"/>
        <v>5326.3</v>
      </c>
    </row>
    <row r="81" ht="14.25" customHeight="1">
      <c r="A81" s="131">
        <v>77.0</v>
      </c>
      <c r="B81" s="132">
        <v>48242.0</v>
      </c>
      <c r="C81" s="146"/>
      <c r="D81" s="135">
        <f t="shared" si="1"/>
        <v>53.3</v>
      </c>
      <c r="E81" s="135">
        <f t="shared" si="2"/>
        <v>665.5</v>
      </c>
      <c r="F81" s="133">
        <f t="shared" si="3"/>
        <v>718.8</v>
      </c>
      <c r="G81" s="135">
        <f t="shared" si="4"/>
        <v>4660.8</v>
      </c>
    </row>
    <row r="82" ht="14.25" customHeight="1">
      <c r="A82" s="131">
        <v>78.0</v>
      </c>
      <c r="B82" s="132">
        <v>48273.0</v>
      </c>
      <c r="C82" s="146"/>
      <c r="D82" s="135">
        <f t="shared" si="1"/>
        <v>46.6</v>
      </c>
      <c r="E82" s="135">
        <f t="shared" si="2"/>
        <v>665.5</v>
      </c>
      <c r="F82" s="133">
        <f t="shared" si="3"/>
        <v>712.1</v>
      </c>
      <c r="G82" s="135">
        <f t="shared" si="4"/>
        <v>3995.3</v>
      </c>
    </row>
    <row r="83" ht="14.25" customHeight="1">
      <c r="A83" s="131">
        <v>79.0</v>
      </c>
      <c r="B83" s="132">
        <v>48302.0</v>
      </c>
      <c r="C83" s="146"/>
      <c r="D83" s="135">
        <f t="shared" si="1"/>
        <v>40</v>
      </c>
      <c r="E83" s="135">
        <f t="shared" si="2"/>
        <v>665.5</v>
      </c>
      <c r="F83" s="133">
        <f t="shared" si="3"/>
        <v>705.5</v>
      </c>
      <c r="G83" s="135">
        <f t="shared" si="4"/>
        <v>3329.8</v>
      </c>
    </row>
    <row r="84" ht="14.25" customHeight="1">
      <c r="A84" s="131">
        <v>80.0</v>
      </c>
      <c r="B84" s="132">
        <v>48333.0</v>
      </c>
      <c r="C84" s="146"/>
      <c r="D84" s="135">
        <f t="shared" si="1"/>
        <v>33.3</v>
      </c>
      <c r="E84" s="135">
        <f t="shared" si="2"/>
        <v>665.5</v>
      </c>
      <c r="F84" s="133">
        <f t="shared" si="3"/>
        <v>698.8</v>
      </c>
      <c r="G84" s="135">
        <f t="shared" si="4"/>
        <v>2664.3</v>
      </c>
    </row>
    <row r="85" ht="14.25" customHeight="1">
      <c r="A85" s="131">
        <v>81.0</v>
      </c>
      <c r="B85" s="132">
        <v>48363.0</v>
      </c>
      <c r="C85" s="146"/>
      <c r="D85" s="135">
        <f t="shared" si="1"/>
        <v>26.6</v>
      </c>
      <c r="E85" s="135">
        <f t="shared" si="2"/>
        <v>665.5</v>
      </c>
      <c r="F85" s="133">
        <f t="shared" si="3"/>
        <v>692.1</v>
      </c>
      <c r="G85" s="135">
        <f t="shared" si="4"/>
        <v>1998.8</v>
      </c>
    </row>
    <row r="86" ht="14.25" customHeight="1">
      <c r="A86" s="131">
        <v>82.0</v>
      </c>
      <c r="B86" s="132">
        <v>48394.0</v>
      </c>
      <c r="C86" s="146"/>
      <c r="D86" s="135">
        <f t="shared" si="1"/>
        <v>20</v>
      </c>
      <c r="E86" s="135">
        <f t="shared" si="2"/>
        <v>665.5</v>
      </c>
      <c r="F86" s="133">
        <f t="shared" si="3"/>
        <v>685.5</v>
      </c>
      <c r="G86" s="135">
        <f t="shared" si="4"/>
        <v>1333.3</v>
      </c>
    </row>
    <row r="87" ht="14.25" customHeight="1">
      <c r="A87" s="131">
        <v>83.0</v>
      </c>
      <c r="B87" s="132">
        <v>48424.0</v>
      </c>
      <c r="C87" s="146"/>
      <c r="D87" s="135">
        <f t="shared" si="1"/>
        <v>13.3</v>
      </c>
      <c r="E87" s="135">
        <f t="shared" si="2"/>
        <v>665.5</v>
      </c>
      <c r="F87" s="133">
        <f t="shared" si="3"/>
        <v>678.8</v>
      </c>
      <c r="G87" s="135">
        <f t="shared" si="4"/>
        <v>667.8</v>
      </c>
    </row>
    <row r="88" ht="14.25" customHeight="1">
      <c r="A88" s="131">
        <v>84.0</v>
      </c>
      <c r="B88" s="132">
        <v>48455.0</v>
      </c>
      <c r="C88" s="146"/>
      <c r="D88" s="135">
        <f t="shared" si="1"/>
        <v>6.7</v>
      </c>
      <c r="E88" s="135">
        <f>ROUNDDOWN($C$4/84,1)+2.3</f>
        <v>667.8</v>
      </c>
      <c r="F88" s="133">
        <f t="shared" si="3"/>
        <v>674.5</v>
      </c>
      <c r="G88" s="135">
        <f t="shared" si="4"/>
        <v>0</v>
      </c>
    </row>
    <row r="89" ht="14.25" customHeight="1">
      <c r="A89" s="129" t="s">
        <v>252</v>
      </c>
      <c r="B89" s="2"/>
      <c r="C89" s="3"/>
      <c r="D89" s="147">
        <f t="shared" ref="D89:F89" si="5">+SUM(D5:D88)</f>
        <v>23760.2</v>
      </c>
      <c r="E89" s="147">
        <f t="shared" si="5"/>
        <v>55904.3</v>
      </c>
      <c r="F89" s="147">
        <f t="shared" si="5"/>
        <v>79664.5</v>
      </c>
      <c r="G89" s="148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367</v>
      </c>
      <c r="B1" s="2"/>
      <c r="C1" s="2"/>
      <c r="D1" s="2"/>
      <c r="E1" s="2"/>
      <c r="F1" s="2"/>
      <c r="G1" s="3"/>
    </row>
    <row r="2" ht="14.25" customHeight="1">
      <c r="A2" s="129" t="s">
        <v>368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45776.0</v>
      </c>
      <c r="C4" s="133">
        <f>+J7</f>
        <v>36925.1</v>
      </c>
      <c r="D4" s="134">
        <v>0.01</v>
      </c>
      <c r="E4" s="135"/>
      <c r="F4" s="135"/>
      <c r="G4" s="135">
        <f>+C4</f>
        <v>36925.1</v>
      </c>
    </row>
    <row r="5" ht="14.25" customHeight="1">
      <c r="A5" s="136">
        <v>1.0</v>
      </c>
      <c r="B5" s="137">
        <v>45806.0</v>
      </c>
      <c r="C5" s="138"/>
      <c r="D5" s="138">
        <f t="shared" ref="D5:D64" si="1">+ROUND(G4*0.01,1)</f>
        <v>369.3</v>
      </c>
      <c r="E5" s="138">
        <f t="shared" ref="E5:E63" si="2">ROUNDDOWN($C$4/60,1)</f>
        <v>615.4</v>
      </c>
      <c r="F5" s="139">
        <f t="shared" ref="F5:F64" si="3">+ROUND(D5+E5,1)</f>
        <v>984.7</v>
      </c>
      <c r="G5" s="138">
        <f t="shared" ref="G5:G64" si="4">+ROUND(G4-E5,1)</f>
        <v>36309.7</v>
      </c>
      <c r="I5" s="140" t="s">
        <v>209</v>
      </c>
      <c r="J5" s="153">
        <v>21874.3</v>
      </c>
    </row>
    <row r="6" ht="14.25" customHeight="1">
      <c r="A6" s="136">
        <v>2.0</v>
      </c>
      <c r="B6" s="137">
        <v>45837.0</v>
      </c>
      <c r="C6" s="144"/>
      <c r="D6" s="138">
        <f t="shared" si="1"/>
        <v>363.1</v>
      </c>
      <c r="E6" s="138">
        <f t="shared" si="2"/>
        <v>615.4</v>
      </c>
      <c r="F6" s="139">
        <f t="shared" si="3"/>
        <v>978.5</v>
      </c>
      <c r="G6" s="138">
        <f t="shared" si="4"/>
        <v>35694.3</v>
      </c>
      <c r="I6" s="140" t="s">
        <v>331</v>
      </c>
      <c r="J6" s="153">
        <v>15050.8</v>
      </c>
    </row>
    <row r="7" ht="14.25" customHeight="1">
      <c r="A7" s="136">
        <v>3.0</v>
      </c>
      <c r="B7" s="137">
        <v>45867.0</v>
      </c>
      <c r="C7" s="144"/>
      <c r="D7" s="138">
        <f t="shared" si="1"/>
        <v>356.9</v>
      </c>
      <c r="E7" s="138">
        <f t="shared" si="2"/>
        <v>615.4</v>
      </c>
      <c r="F7" s="139">
        <f t="shared" si="3"/>
        <v>972.3</v>
      </c>
      <c r="G7" s="138">
        <f t="shared" si="4"/>
        <v>35078.9</v>
      </c>
      <c r="I7" s="142" t="s">
        <v>252</v>
      </c>
      <c r="J7" s="158">
        <f>+SUM(J5:J6)</f>
        <v>36925.1</v>
      </c>
    </row>
    <row r="8" ht="14.25" customHeight="1">
      <c r="A8" s="136">
        <v>4.0</v>
      </c>
      <c r="B8" s="137">
        <v>45898.0</v>
      </c>
      <c r="C8" s="144"/>
      <c r="D8" s="138">
        <f t="shared" si="1"/>
        <v>350.8</v>
      </c>
      <c r="E8" s="138">
        <f t="shared" si="2"/>
        <v>615.4</v>
      </c>
      <c r="F8" s="139">
        <f t="shared" si="3"/>
        <v>966.2</v>
      </c>
      <c r="G8" s="138">
        <f t="shared" si="4"/>
        <v>34463.5</v>
      </c>
    </row>
    <row r="9" ht="14.25" customHeight="1">
      <c r="A9" s="136">
        <v>5.0</v>
      </c>
      <c r="B9" s="137">
        <v>45929.0</v>
      </c>
      <c r="C9" s="144"/>
      <c r="D9" s="138">
        <f t="shared" si="1"/>
        <v>344.6</v>
      </c>
      <c r="E9" s="138">
        <f t="shared" si="2"/>
        <v>615.4</v>
      </c>
      <c r="F9" s="139">
        <f t="shared" si="3"/>
        <v>960</v>
      </c>
      <c r="G9" s="138">
        <f t="shared" si="4"/>
        <v>33848.1</v>
      </c>
    </row>
    <row r="10" ht="14.25" customHeight="1">
      <c r="A10" s="136">
        <v>6.0</v>
      </c>
      <c r="B10" s="137">
        <v>45959.0</v>
      </c>
      <c r="C10" s="145"/>
      <c r="D10" s="138">
        <f t="shared" si="1"/>
        <v>338.5</v>
      </c>
      <c r="E10" s="138">
        <f t="shared" si="2"/>
        <v>615.4</v>
      </c>
      <c r="F10" s="139">
        <f t="shared" si="3"/>
        <v>953.9</v>
      </c>
      <c r="G10" s="138">
        <f t="shared" si="4"/>
        <v>33232.7</v>
      </c>
    </row>
    <row r="11" ht="14.25" customHeight="1">
      <c r="A11" s="136">
        <v>7.0</v>
      </c>
      <c r="B11" s="137">
        <v>45990.0</v>
      </c>
      <c r="C11" s="145"/>
      <c r="D11" s="138">
        <f t="shared" si="1"/>
        <v>332.3</v>
      </c>
      <c r="E11" s="138">
        <f t="shared" si="2"/>
        <v>615.4</v>
      </c>
      <c r="F11" s="139">
        <f t="shared" si="3"/>
        <v>947.7</v>
      </c>
      <c r="G11" s="138">
        <f t="shared" si="4"/>
        <v>32617.3</v>
      </c>
    </row>
    <row r="12" ht="14.25" customHeight="1">
      <c r="A12" s="136">
        <v>8.0</v>
      </c>
      <c r="B12" s="137">
        <v>46020.0</v>
      </c>
      <c r="C12" s="145"/>
      <c r="D12" s="138">
        <f t="shared" si="1"/>
        <v>326.2</v>
      </c>
      <c r="E12" s="138">
        <f t="shared" si="2"/>
        <v>615.4</v>
      </c>
      <c r="F12" s="139">
        <f t="shared" si="3"/>
        <v>941.6</v>
      </c>
      <c r="G12" s="138">
        <f t="shared" si="4"/>
        <v>32001.9</v>
      </c>
    </row>
    <row r="13" ht="14.25" customHeight="1">
      <c r="A13" s="131">
        <v>9.0</v>
      </c>
      <c r="B13" s="132">
        <v>46051.0</v>
      </c>
      <c r="C13" s="146"/>
      <c r="D13" s="135">
        <f t="shared" si="1"/>
        <v>320</v>
      </c>
      <c r="E13" s="135">
        <f t="shared" si="2"/>
        <v>615.4</v>
      </c>
      <c r="F13" s="133">
        <f t="shared" si="3"/>
        <v>935.4</v>
      </c>
      <c r="G13" s="135">
        <f t="shared" si="4"/>
        <v>31386.5</v>
      </c>
    </row>
    <row r="14" ht="14.25" customHeight="1">
      <c r="A14" s="131">
        <v>10.0</v>
      </c>
      <c r="B14" s="132">
        <v>46081.0</v>
      </c>
      <c r="C14" s="146"/>
      <c r="D14" s="135">
        <f t="shared" si="1"/>
        <v>313.9</v>
      </c>
      <c r="E14" s="135">
        <f t="shared" si="2"/>
        <v>615.4</v>
      </c>
      <c r="F14" s="133">
        <f t="shared" si="3"/>
        <v>929.3</v>
      </c>
      <c r="G14" s="135">
        <f t="shared" si="4"/>
        <v>30771.1</v>
      </c>
    </row>
    <row r="15" ht="14.25" customHeight="1">
      <c r="A15" s="131">
        <v>11.0</v>
      </c>
      <c r="B15" s="132">
        <v>46110.0</v>
      </c>
      <c r="C15" s="146"/>
      <c r="D15" s="135">
        <f t="shared" si="1"/>
        <v>307.7</v>
      </c>
      <c r="E15" s="135">
        <f t="shared" si="2"/>
        <v>615.4</v>
      </c>
      <c r="F15" s="133">
        <f t="shared" si="3"/>
        <v>923.1</v>
      </c>
      <c r="G15" s="135">
        <f t="shared" si="4"/>
        <v>30155.7</v>
      </c>
    </row>
    <row r="16" ht="14.25" customHeight="1">
      <c r="A16" s="131">
        <v>12.0</v>
      </c>
      <c r="B16" s="132">
        <v>46141.0</v>
      </c>
      <c r="C16" s="146"/>
      <c r="D16" s="135">
        <f t="shared" si="1"/>
        <v>301.6</v>
      </c>
      <c r="E16" s="135">
        <f t="shared" si="2"/>
        <v>615.4</v>
      </c>
      <c r="F16" s="133">
        <f t="shared" si="3"/>
        <v>917</v>
      </c>
      <c r="G16" s="135">
        <f t="shared" si="4"/>
        <v>29540.3</v>
      </c>
    </row>
    <row r="17" ht="14.25" customHeight="1">
      <c r="A17" s="131">
        <v>13.0</v>
      </c>
      <c r="B17" s="132">
        <v>46171.0</v>
      </c>
      <c r="C17" s="146"/>
      <c r="D17" s="135">
        <f t="shared" si="1"/>
        <v>295.4</v>
      </c>
      <c r="E17" s="135">
        <f t="shared" si="2"/>
        <v>615.4</v>
      </c>
      <c r="F17" s="133">
        <f t="shared" si="3"/>
        <v>910.8</v>
      </c>
      <c r="G17" s="135">
        <f t="shared" si="4"/>
        <v>28924.9</v>
      </c>
    </row>
    <row r="18" ht="14.25" customHeight="1">
      <c r="A18" s="131">
        <v>14.0</v>
      </c>
      <c r="B18" s="132">
        <v>46202.0</v>
      </c>
      <c r="C18" s="146"/>
      <c r="D18" s="135">
        <f t="shared" si="1"/>
        <v>289.2</v>
      </c>
      <c r="E18" s="135">
        <f t="shared" si="2"/>
        <v>615.4</v>
      </c>
      <c r="F18" s="133">
        <f t="shared" si="3"/>
        <v>904.6</v>
      </c>
      <c r="G18" s="135">
        <f t="shared" si="4"/>
        <v>28309.5</v>
      </c>
    </row>
    <row r="19" ht="14.25" customHeight="1">
      <c r="A19" s="131">
        <v>15.0</v>
      </c>
      <c r="B19" s="132">
        <v>46232.0</v>
      </c>
      <c r="C19" s="146"/>
      <c r="D19" s="135">
        <f t="shared" si="1"/>
        <v>283.1</v>
      </c>
      <c r="E19" s="135">
        <f t="shared" si="2"/>
        <v>615.4</v>
      </c>
      <c r="F19" s="133">
        <f t="shared" si="3"/>
        <v>898.5</v>
      </c>
      <c r="G19" s="135">
        <f t="shared" si="4"/>
        <v>27694.1</v>
      </c>
    </row>
    <row r="20" ht="14.25" customHeight="1">
      <c r="A20" s="131">
        <v>16.0</v>
      </c>
      <c r="B20" s="132">
        <v>46263.0</v>
      </c>
      <c r="C20" s="146"/>
      <c r="D20" s="135">
        <f t="shared" si="1"/>
        <v>276.9</v>
      </c>
      <c r="E20" s="135">
        <f t="shared" si="2"/>
        <v>615.4</v>
      </c>
      <c r="F20" s="133">
        <f t="shared" si="3"/>
        <v>892.3</v>
      </c>
      <c r="G20" s="135">
        <f t="shared" si="4"/>
        <v>27078.7</v>
      </c>
    </row>
    <row r="21" ht="14.25" customHeight="1">
      <c r="A21" s="131">
        <v>17.0</v>
      </c>
      <c r="B21" s="132">
        <v>46294.0</v>
      </c>
      <c r="C21" s="146"/>
      <c r="D21" s="135">
        <f t="shared" si="1"/>
        <v>270.8</v>
      </c>
      <c r="E21" s="135">
        <f t="shared" si="2"/>
        <v>615.4</v>
      </c>
      <c r="F21" s="133">
        <f t="shared" si="3"/>
        <v>886.2</v>
      </c>
      <c r="G21" s="135">
        <f t="shared" si="4"/>
        <v>26463.3</v>
      </c>
    </row>
    <row r="22" ht="14.25" customHeight="1">
      <c r="A22" s="131">
        <v>18.0</v>
      </c>
      <c r="B22" s="132">
        <v>46324.0</v>
      </c>
      <c r="C22" s="146"/>
      <c r="D22" s="135">
        <f t="shared" si="1"/>
        <v>264.6</v>
      </c>
      <c r="E22" s="135">
        <f t="shared" si="2"/>
        <v>615.4</v>
      </c>
      <c r="F22" s="133">
        <f t="shared" si="3"/>
        <v>880</v>
      </c>
      <c r="G22" s="135">
        <f t="shared" si="4"/>
        <v>25847.9</v>
      </c>
    </row>
    <row r="23" ht="14.25" customHeight="1">
      <c r="A23" s="131">
        <v>19.0</v>
      </c>
      <c r="B23" s="132">
        <v>46355.0</v>
      </c>
      <c r="C23" s="146"/>
      <c r="D23" s="135">
        <f t="shared" si="1"/>
        <v>258.5</v>
      </c>
      <c r="E23" s="135">
        <f t="shared" si="2"/>
        <v>615.4</v>
      </c>
      <c r="F23" s="133">
        <f t="shared" si="3"/>
        <v>873.9</v>
      </c>
      <c r="G23" s="135">
        <f t="shared" si="4"/>
        <v>25232.5</v>
      </c>
    </row>
    <row r="24" ht="14.25" customHeight="1">
      <c r="A24" s="131">
        <v>20.0</v>
      </c>
      <c r="B24" s="132">
        <v>46385.0</v>
      </c>
      <c r="C24" s="146"/>
      <c r="D24" s="135">
        <f t="shared" si="1"/>
        <v>252.3</v>
      </c>
      <c r="E24" s="135">
        <f t="shared" si="2"/>
        <v>615.4</v>
      </c>
      <c r="F24" s="133">
        <f t="shared" si="3"/>
        <v>867.7</v>
      </c>
      <c r="G24" s="135">
        <f t="shared" si="4"/>
        <v>24617.1</v>
      </c>
    </row>
    <row r="25" ht="14.25" customHeight="1">
      <c r="A25" s="131">
        <v>21.0</v>
      </c>
      <c r="B25" s="132">
        <v>46416.0</v>
      </c>
      <c r="C25" s="146"/>
      <c r="D25" s="135">
        <f t="shared" si="1"/>
        <v>246.2</v>
      </c>
      <c r="E25" s="135">
        <f t="shared" si="2"/>
        <v>615.4</v>
      </c>
      <c r="F25" s="133">
        <f t="shared" si="3"/>
        <v>861.6</v>
      </c>
      <c r="G25" s="135">
        <f t="shared" si="4"/>
        <v>24001.7</v>
      </c>
    </row>
    <row r="26" ht="14.25" customHeight="1">
      <c r="A26" s="131">
        <v>22.0</v>
      </c>
      <c r="B26" s="132">
        <v>46446.0</v>
      </c>
      <c r="C26" s="146"/>
      <c r="D26" s="135">
        <f t="shared" si="1"/>
        <v>240</v>
      </c>
      <c r="E26" s="135">
        <f t="shared" si="2"/>
        <v>615.4</v>
      </c>
      <c r="F26" s="133">
        <f t="shared" si="3"/>
        <v>855.4</v>
      </c>
      <c r="G26" s="135">
        <f t="shared" si="4"/>
        <v>23386.3</v>
      </c>
    </row>
    <row r="27" ht="14.25" customHeight="1">
      <c r="A27" s="131">
        <v>23.0</v>
      </c>
      <c r="B27" s="132">
        <v>46475.0</v>
      </c>
      <c r="C27" s="146"/>
      <c r="D27" s="135">
        <f t="shared" si="1"/>
        <v>233.9</v>
      </c>
      <c r="E27" s="135">
        <f t="shared" si="2"/>
        <v>615.4</v>
      </c>
      <c r="F27" s="133">
        <f t="shared" si="3"/>
        <v>849.3</v>
      </c>
      <c r="G27" s="135">
        <f t="shared" si="4"/>
        <v>22770.9</v>
      </c>
    </row>
    <row r="28" ht="14.25" customHeight="1">
      <c r="A28" s="131">
        <v>24.0</v>
      </c>
      <c r="B28" s="132">
        <v>46506.0</v>
      </c>
      <c r="C28" s="146"/>
      <c r="D28" s="135">
        <f t="shared" si="1"/>
        <v>227.7</v>
      </c>
      <c r="E28" s="135">
        <f t="shared" si="2"/>
        <v>615.4</v>
      </c>
      <c r="F28" s="133">
        <f t="shared" si="3"/>
        <v>843.1</v>
      </c>
      <c r="G28" s="135">
        <f t="shared" si="4"/>
        <v>22155.5</v>
      </c>
    </row>
    <row r="29" ht="14.25" customHeight="1">
      <c r="A29" s="131">
        <v>25.0</v>
      </c>
      <c r="B29" s="132">
        <v>46536.0</v>
      </c>
      <c r="C29" s="146"/>
      <c r="D29" s="135">
        <f t="shared" si="1"/>
        <v>221.6</v>
      </c>
      <c r="E29" s="135">
        <f t="shared" si="2"/>
        <v>615.4</v>
      </c>
      <c r="F29" s="133">
        <f t="shared" si="3"/>
        <v>837</v>
      </c>
      <c r="G29" s="135">
        <f t="shared" si="4"/>
        <v>21540.1</v>
      </c>
    </row>
    <row r="30" ht="14.25" customHeight="1">
      <c r="A30" s="131">
        <v>26.0</v>
      </c>
      <c r="B30" s="132">
        <v>46567.0</v>
      </c>
      <c r="C30" s="146"/>
      <c r="D30" s="135">
        <f t="shared" si="1"/>
        <v>215.4</v>
      </c>
      <c r="E30" s="135">
        <f t="shared" si="2"/>
        <v>615.4</v>
      </c>
      <c r="F30" s="133">
        <f t="shared" si="3"/>
        <v>830.8</v>
      </c>
      <c r="G30" s="135">
        <f t="shared" si="4"/>
        <v>20924.7</v>
      </c>
    </row>
    <row r="31" ht="14.25" customHeight="1">
      <c r="A31" s="131">
        <v>27.0</v>
      </c>
      <c r="B31" s="132">
        <v>46597.0</v>
      </c>
      <c r="C31" s="146"/>
      <c r="D31" s="135">
        <f t="shared" si="1"/>
        <v>209.2</v>
      </c>
      <c r="E31" s="135">
        <f t="shared" si="2"/>
        <v>615.4</v>
      </c>
      <c r="F31" s="133">
        <f t="shared" si="3"/>
        <v>824.6</v>
      </c>
      <c r="G31" s="135">
        <f t="shared" si="4"/>
        <v>20309.3</v>
      </c>
    </row>
    <row r="32" ht="14.25" customHeight="1">
      <c r="A32" s="131">
        <v>28.0</v>
      </c>
      <c r="B32" s="132">
        <v>46628.0</v>
      </c>
      <c r="C32" s="146"/>
      <c r="D32" s="135">
        <f t="shared" si="1"/>
        <v>203.1</v>
      </c>
      <c r="E32" s="135">
        <f t="shared" si="2"/>
        <v>615.4</v>
      </c>
      <c r="F32" s="133">
        <f t="shared" si="3"/>
        <v>818.5</v>
      </c>
      <c r="G32" s="135">
        <f t="shared" si="4"/>
        <v>19693.9</v>
      </c>
    </row>
    <row r="33" ht="14.25" customHeight="1">
      <c r="A33" s="131">
        <v>29.0</v>
      </c>
      <c r="B33" s="132">
        <v>46659.0</v>
      </c>
      <c r="C33" s="146"/>
      <c r="D33" s="135">
        <f t="shared" si="1"/>
        <v>196.9</v>
      </c>
      <c r="E33" s="135">
        <f t="shared" si="2"/>
        <v>615.4</v>
      </c>
      <c r="F33" s="133">
        <f t="shared" si="3"/>
        <v>812.3</v>
      </c>
      <c r="G33" s="135">
        <f t="shared" si="4"/>
        <v>19078.5</v>
      </c>
    </row>
    <row r="34" ht="14.25" customHeight="1">
      <c r="A34" s="131">
        <v>30.0</v>
      </c>
      <c r="B34" s="132">
        <v>46689.0</v>
      </c>
      <c r="C34" s="146"/>
      <c r="D34" s="135">
        <f t="shared" si="1"/>
        <v>190.8</v>
      </c>
      <c r="E34" s="135">
        <f t="shared" si="2"/>
        <v>615.4</v>
      </c>
      <c r="F34" s="133">
        <f t="shared" si="3"/>
        <v>806.2</v>
      </c>
      <c r="G34" s="135">
        <f t="shared" si="4"/>
        <v>18463.1</v>
      </c>
    </row>
    <row r="35" ht="14.25" customHeight="1">
      <c r="A35" s="131">
        <v>31.0</v>
      </c>
      <c r="B35" s="132">
        <v>46720.0</v>
      </c>
      <c r="C35" s="146"/>
      <c r="D35" s="135">
        <f t="shared" si="1"/>
        <v>184.6</v>
      </c>
      <c r="E35" s="135">
        <f t="shared" si="2"/>
        <v>615.4</v>
      </c>
      <c r="F35" s="133">
        <f t="shared" si="3"/>
        <v>800</v>
      </c>
      <c r="G35" s="135">
        <f t="shared" si="4"/>
        <v>17847.7</v>
      </c>
    </row>
    <row r="36" ht="14.25" customHeight="1">
      <c r="A36" s="131">
        <v>32.0</v>
      </c>
      <c r="B36" s="132">
        <v>46750.0</v>
      </c>
      <c r="C36" s="146"/>
      <c r="D36" s="135">
        <f t="shared" si="1"/>
        <v>178.5</v>
      </c>
      <c r="E36" s="135">
        <f t="shared" si="2"/>
        <v>615.4</v>
      </c>
      <c r="F36" s="133">
        <f t="shared" si="3"/>
        <v>793.9</v>
      </c>
      <c r="G36" s="135">
        <f t="shared" si="4"/>
        <v>17232.3</v>
      </c>
    </row>
    <row r="37" ht="14.25" customHeight="1">
      <c r="A37" s="131">
        <v>33.0</v>
      </c>
      <c r="B37" s="132">
        <v>46781.0</v>
      </c>
      <c r="C37" s="146"/>
      <c r="D37" s="135">
        <f t="shared" si="1"/>
        <v>172.3</v>
      </c>
      <c r="E37" s="135">
        <f t="shared" si="2"/>
        <v>615.4</v>
      </c>
      <c r="F37" s="133">
        <f t="shared" si="3"/>
        <v>787.7</v>
      </c>
      <c r="G37" s="135">
        <f t="shared" si="4"/>
        <v>16616.9</v>
      </c>
    </row>
    <row r="38" ht="14.25" customHeight="1">
      <c r="A38" s="131">
        <v>34.0</v>
      </c>
      <c r="B38" s="132">
        <v>46812.0</v>
      </c>
      <c r="C38" s="146"/>
      <c r="D38" s="135">
        <f t="shared" si="1"/>
        <v>166.2</v>
      </c>
      <c r="E38" s="135">
        <f t="shared" si="2"/>
        <v>615.4</v>
      </c>
      <c r="F38" s="133">
        <f t="shared" si="3"/>
        <v>781.6</v>
      </c>
      <c r="G38" s="135">
        <f t="shared" si="4"/>
        <v>16001.5</v>
      </c>
    </row>
    <row r="39" ht="14.25" customHeight="1">
      <c r="A39" s="131">
        <v>35.0</v>
      </c>
      <c r="B39" s="132">
        <v>46841.0</v>
      </c>
      <c r="C39" s="146"/>
      <c r="D39" s="135">
        <f t="shared" si="1"/>
        <v>160</v>
      </c>
      <c r="E39" s="135">
        <f t="shared" si="2"/>
        <v>615.4</v>
      </c>
      <c r="F39" s="133">
        <f t="shared" si="3"/>
        <v>775.4</v>
      </c>
      <c r="G39" s="135">
        <f t="shared" si="4"/>
        <v>15386.1</v>
      </c>
    </row>
    <row r="40" ht="14.25" customHeight="1">
      <c r="A40" s="131">
        <v>36.0</v>
      </c>
      <c r="B40" s="132">
        <v>46872.0</v>
      </c>
      <c r="C40" s="146"/>
      <c r="D40" s="135">
        <f t="shared" si="1"/>
        <v>153.9</v>
      </c>
      <c r="E40" s="135">
        <f t="shared" si="2"/>
        <v>615.4</v>
      </c>
      <c r="F40" s="133">
        <f t="shared" si="3"/>
        <v>769.3</v>
      </c>
      <c r="G40" s="135">
        <f t="shared" si="4"/>
        <v>14770.7</v>
      </c>
    </row>
    <row r="41" ht="14.25" customHeight="1">
      <c r="A41" s="131">
        <v>37.0</v>
      </c>
      <c r="B41" s="132">
        <v>46902.0</v>
      </c>
      <c r="C41" s="146"/>
      <c r="D41" s="135">
        <f t="shared" si="1"/>
        <v>147.7</v>
      </c>
      <c r="E41" s="135">
        <f t="shared" si="2"/>
        <v>615.4</v>
      </c>
      <c r="F41" s="133">
        <f t="shared" si="3"/>
        <v>763.1</v>
      </c>
      <c r="G41" s="135">
        <f t="shared" si="4"/>
        <v>14155.3</v>
      </c>
    </row>
    <row r="42" ht="14.25" customHeight="1">
      <c r="A42" s="131">
        <v>38.0</v>
      </c>
      <c r="B42" s="132">
        <v>46933.0</v>
      </c>
      <c r="C42" s="146"/>
      <c r="D42" s="135">
        <f t="shared" si="1"/>
        <v>141.6</v>
      </c>
      <c r="E42" s="135">
        <f t="shared" si="2"/>
        <v>615.4</v>
      </c>
      <c r="F42" s="133">
        <f t="shared" si="3"/>
        <v>757</v>
      </c>
      <c r="G42" s="135">
        <f t="shared" si="4"/>
        <v>13539.9</v>
      </c>
    </row>
    <row r="43" ht="14.25" customHeight="1">
      <c r="A43" s="131">
        <v>39.0</v>
      </c>
      <c r="B43" s="132">
        <v>46963.0</v>
      </c>
      <c r="C43" s="146"/>
      <c r="D43" s="135">
        <f t="shared" si="1"/>
        <v>135.4</v>
      </c>
      <c r="E43" s="135">
        <f t="shared" si="2"/>
        <v>615.4</v>
      </c>
      <c r="F43" s="133">
        <f t="shared" si="3"/>
        <v>750.8</v>
      </c>
      <c r="G43" s="135">
        <f t="shared" si="4"/>
        <v>12924.5</v>
      </c>
    </row>
    <row r="44" ht="14.25" customHeight="1">
      <c r="A44" s="131">
        <v>40.0</v>
      </c>
      <c r="B44" s="132">
        <v>46994.0</v>
      </c>
      <c r="C44" s="146"/>
      <c r="D44" s="135">
        <f t="shared" si="1"/>
        <v>129.2</v>
      </c>
      <c r="E44" s="135">
        <f t="shared" si="2"/>
        <v>615.4</v>
      </c>
      <c r="F44" s="133">
        <f t="shared" si="3"/>
        <v>744.6</v>
      </c>
      <c r="G44" s="135">
        <f t="shared" si="4"/>
        <v>12309.1</v>
      </c>
    </row>
    <row r="45" ht="14.25" customHeight="1">
      <c r="A45" s="131">
        <v>41.0</v>
      </c>
      <c r="B45" s="132">
        <v>47025.0</v>
      </c>
      <c r="C45" s="146"/>
      <c r="D45" s="135">
        <f t="shared" si="1"/>
        <v>123.1</v>
      </c>
      <c r="E45" s="135">
        <f t="shared" si="2"/>
        <v>615.4</v>
      </c>
      <c r="F45" s="133">
        <f t="shared" si="3"/>
        <v>738.5</v>
      </c>
      <c r="G45" s="135">
        <f t="shared" si="4"/>
        <v>11693.7</v>
      </c>
    </row>
    <row r="46" ht="14.25" customHeight="1">
      <c r="A46" s="131">
        <v>42.0</v>
      </c>
      <c r="B46" s="132">
        <v>47055.0</v>
      </c>
      <c r="C46" s="146"/>
      <c r="D46" s="135">
        <f t="shared" si="1"/>
        <v>116.9</v>
      </c>
      <c r="E46" s="135">
        <f t="shared" si="2"/>
        <v>615.4</v>
      </c>
      <c r="F46" s="133">
        <f t="shared" si="3"/>
        <v>732.3</v>
      </c>
      <c r="G46" s="135">
        <f t="shared" si="4"/>
        <v>11078.3</v>
      </c>
    </row>
    <row r="47" ht="14.25" customHeight="1">
      <c r="A47" s="131">
        <v>43.0</v>
      </c>
      <c r="B47" s="132">
        <v>47086.0</v>
      </c>
      <c r="C47" s="146"/>
      <c r="D47" s="135">
        <f t="shared" si="1"/>
        <v>110.8</v>
      </c>
      <c r="E47" s="135">
        <f t="shared" si="2"/>
        <v>615.4</v>
      </c>
      <c r="F47" s="133">
        <f t="shared" si="3"/>
        <v>726.2</v>
      </c>
      <c r="G47" s="135">
        <f t="shared" si="4"/>
        <v>10462.9</v>
      </c>
    </row>
    <row r="48" ht="14.25" customHeight="1">
      <c r="A48" s="131">
        <v>44.0</v>
      </c>
      <c r="B48" s="132">
        <v>47116.0</v>
      </c>
      <c r="C48" s="146"/>
      <c r="D48" s="135">
        <f t="shared" si="1"/>
        <v>104.6</v>
      </c>
      <c r="E48" s="135">
        <f t="shared" si="2"/>
        <v>615.4</v>
      </c>
      <c r="F48" s="133">
        <f t="shared" si="3"/>
        <v>720</v>
      </c>
      <c r="G48" s="135">
        <f t="shared" si="4"/>
        <v>9847.5</v>
      </c>
    </row>
    <row r="49" ht="14.25" customHeight="1">
      <c r="A49" s="131">
        <v>45.0</v>
      </c>
      <c r="B49" s="132">
        <v>47147.0</v>
      </c>
      <c r="C49" s="146"/>
      <c r="D49" s="135">
        <f t="shared" si="1"/>
        <v>98.5</v>
      </c>
      <c r="E49" s="135">
        <f t="shared" si="2"/>
        <v>615.4</v>
      </c>
      <c r="F49" s="133">
        <f t="shared" si="3"/>
        <v>713.9</v>
      </c>
      <c r="G49" s="135">
        <f t="shared" si="4"/>
        <v>9232.1</v>
      </c>
    </row>
    <row r="50" ht="14.25" customHeight="1">
      <c r="A50" s="131">
        <v>46.0</v>
      </c>
      <c r="B50" s="132">
        <v>47177.0</v>
      </c>
      <c r="C50" s="146"/>
      <c r="D50" s="135">
        <f t="shared" si="1"/>
        <v>92.3</v>
      </c>
      <c r="E50" s="135">
        <f t="shared" si="2"/>
        <v>615.4</v>
      </c>
      <c r="F50" s="133">
        <f t="shared" si="3"/>
        <v>707.7</v>
      </c>
      <c r="G50" s="135">
        <f t="shared" si="4"/>
        <v>8616.7</v>
      </c>
    </row>
    <row r="51" ht="14.25" customHeight="1">
      <c r="A51" s="131">
        <v>47.0</v>
      </c>
      <c r="B51" s="132">
        <v>47206.0</v>
      </c>
      <c r="C51" s="146"/>
      <c r="D51" s="135">
        <f t="shared" si="1"/>
        <v>86.2</v>
      </c>
      <c r="E51" s="135">
        <f t="shared" si="2"/>
        <v>615.4</v>
      </c>
      <c r="F51" s="133">
        <f t="shared" si="3"/>
        <v>701.6</v>
      </c>
      <c r="G51" s="135">
        <f t="shared" si="4"/>
        <v>8001.3</v>
      </c>
    </row>
    <row r="52" ht="14.25" customHeight="1">
      <c r="A52" s="131">
        <v>48.0</v>
      </c>
      <c r="B52" s="132">
        <v>47237.0</v>
      </c>
      <c r="C52" s="146"/>
      <c r="D52" s="135">
        <f t="shared" si="1"/>
        <v>80</v>
      </c>
      <c r="E52" s="135">
        <f t="shared" si="2"/>
        <v>615.4</v>
      </c>
      <c r="F52" s="133">
        <f t="shared" si="3"/>
        <v>695.4</v>
      </c>
      <c r="G52" s="135">
        <f t="shared" si="4"/>
        <v>7385.9</v>
      </c>
    </row>
    <row r="53" ht="14.25" customHeight="1">
      <c r="A53" s="131">
        <v>49.0</v>
      </c>
      <c r="B53" s="132">
        <v>47267.0</v>
      </c>
      <c r="C53" s="146"/>
      <c r="D53" s="135">
        <f t="shared" si="1"/>
        <v>73.9</v>
      </c>
      <c r="E53" s="135">
        <f t="shared" si="2"/>
        <v>615.4</v>
      </c>
      <c r="F53" s="133">
        <f t="shared" si="3"/>
        <v>689.3</v>
      </c>
      <c r="G53" s="135">
        <f t="shared" si="4"/>
        <v>6770.5</v>
      </c>
    </row>
    <row r="54" ht="14.25" customHeight="1">
      <c r="A54" s="131">
        <v>50.0</v>
      </c>
      <c r="B54" s="132">
        <v>47298.0</v>
      </c>
      <c r="C54" s="146"/>
      <c r="D54" s="135">
        <f t="shared" si="1"/>
        <v>67.7</v>
      </c>
      <c r="E54" s="135">
        <f t="shared" si="2"/>
        <v>615.4</v>
      </c>
      <c r="F54" s="133">
        <f t="shared" si="3"/>
        <v>683.1</v>
      </c>
      <c r="G54" s="135">
        <f t="shared" si="4"/>
        <v>6155.1</v>
      </c>
    </row>
    <row r="55" ht="14.25" customHeight="1">
      <c r="A55" s="131">
        <v>51.0</v>
      </c>
      <c r="B55" s="132">
        <v>47328.0</v>
      </c>
      <c r="C55" s="146"/>
      <c r="D55" s="135">
        <f t="shared" si="1"/>
        <v>61.6</v>
      </c>
      <c r="E55" s="135">
        <f t="shared" si="2"/>
        <v>615.4</v>
      </c>
      <c r="F55" s="133">
        <f t="shared" si="3"/>
        <v>677</v>
      </c>
      <c r="G55" s="135">
        <f t="shared" si="4"/>
        <v>5539.7</v>
      </c>
    </row>
    <row r="56" ht="14.25" customHeight="1">
      <c r="A56" s="131">
        <v>52.0</v>
      </c>
      <c r="B56" s="132">
        <v>47359.0</v>
      </c>
      <c r="C56" s="146"/>
      <c r="D56" s="135">
        <f t="shared" si="1"/>
        <v>55.4</v>
      </c>
      <c r="E56" s="135">
        <f t="shared" si="2"/>
        <v>615.4</v>
      </c>
      <c r="F56" s="133">
        <f t="shared" si="3"/>
        <v>670.8</v>
      </c>
      <c r="G56" s="135">
        <f t="shared" si="4"/>
        <v>4924.3</v>
      </c>
    </row>
    <row r="57" ht="14.25" customHeight="1">
      <c r="A57" s="131">
        <v>53.0</v>
      </c>
      <c r="B57" s="132">
        <v>47390.0</v>
      </c>
      <c r="C57" s="146"/>
      <c r="D57" s="135">
        <f t="shared" si="1"/>
        <v>49.2</v>
      </c>
      <c r="E57" s="135">
        <f t="shared" si="2"/>
        <v>615.4</v>
      </c>
      <c r="F57" s="133">
        <f t="shared" si="3"/>
        <v>664.6</v>
      </c>
      <c r="G57" s="135">
        <f t="shared" si="4"/>
        <v>4308.9</v>
      </c>
    </row>
    <row r="58" ht="14.25" customHeight="1">
      <c r="A58" s="131">
        <v>54.0</v>
      </c>
      <c r="B58" s="132">
        <v>47420.0</v>
      </c>
      <c r="C58" s="146"/>
      <c r="D58" s="135">
        <f t="shared" si="1"/>
        <v>43.1</v>
      </c>
      <c r="E58" s="135">
        <f t="shared" si="2"/>
        <v>615.4</v>
      </c>
      <c r="F58" s="133">
        <f t="shared" si="3"/>
        <v>658.5</v>
      </c>
      <c r="G58" s="135">
        <f t="shared" si="4"/>
        <v>3693.5</v>
      </c>
    </row>
    <row r="59" ht="14.25" customHeight="1">
      <c r="A59" s="131">
        <v>55.0</v>
      </c>
      <c r="B59" s="132">
        <v>47451.0</v>
      </c>
      <c r="C59" s="146"/>
      <c r="D59" s="135">
        <f t="shared" si="1"/>
        <v>36.9</v>
      </c>
      <c r="E59" s="135">
        <f t="shared" si="2"/>
        <v>615.4</v>
      </c>
      <c r="F59" s="133">
        <f t="shared" si="3"/>
        <v>652.3</v>
      </c>
      <c r="G59" s="135">
        <f t="shared" si="4"/>
        <v>3078.1</v>
      </c>
    </row>
    <row r="60" ht="14.25" customHeight="1">
      <c r="A60" s="131">
        <v>56.0</v>
      </c>
      <c r="B60" s="132">
        <v>47481.0</v>
      </c>
      <c r="C60" s="146"/>
      <c r="D60" s="135">
        <f t="shared" si="1"/>
        <v>30.8</v>
      </c>
      <c r="E60" s="135">
        <f t="shared" si="2"/>
        <v>615.4</v>
      </c>
      <c r="F60" s="133">
        <f t="shared" si="3"/>
        <v>646.2</v>
      </c>
      <c r="G60" s="135">
        <f t="shared" si="4"/>
        <v>2462.7</v>
      </c>
    </row>
    <row r="61" ht="14.25" customHeight="1">
      <c r="A61" s="131">
        <v>57.0</v>
      </c>
      <c r="B61" s="132">
        <v>47512.0</v>
      </c>
      <c r="C61" s="146"/>
      <c r="D61" s="135">
        <f t="shared" si="1"/>
        <v>24.6</v>
      </c>
      <c r="E61" s="135">
        <f t="shared" si="2"/>
        <v>615.4</v>
      </c>
      <c r="F61" s="133">
        <f t="shared" si="3"/>
        <v>640</v>
      </c>
      <c r="G61" s="135">
        <f t="shared" si="4"/>
        <v>1847.3</v>
      </c>
    </row>
    <row r="62" ht="14.25" customHeight="1">
      <c r="A62" s="131">
        <v>58.0</v>
      </c>
      <c r="B62" s="132">
        <v>47542.0</v>
      </c>
      <c r="C62" s="146"/>
      <c r="D62" s="135">
        <f t="shared" si="1"/>
        <v>18.5</v>
      </c>
      <c r="E62" s="135">
        <f t="shared" si="2"/>
        <v>615.4</v>
      </c>
      <c r="F62" s="133">
        <f t="shared" si="3"/>
        <v>633.9</v>
      </c>
      <c r="G62" s="135">
        <f t="shared" si="4"/>
        <v>1231.9</v>
      </c>
    </row>
    <row r="63" ht="14.25" customHeight="1">
      <c r="A63" s="131">
        <v>59.0</v>
      </c>
      <c r="B63" s="132">
        <v>47571.0</v>
      </c>
      <c r="C63" s="146"/>
      <c r="D63" s="135">
        <f t="shared" si="1"/>
        <v>12.3</v>
      </c>
      <c r="E63" s="135">
        <f t="shared" si="2"/>
        <v>615.4</v>
      </c>
      <c r="F63" s="133">
        <f t="shared" si="3"/>
        <v>627.7</v>
      </c>
      <c r="G63" s="135">
        <f t="shared" si="4"/>
        <v>616.5</v>
      </c>
    </row>
    <row r="64" ht="14.25" customHeight="1">
      <c r="A64" s="131">
        <v>60.0</v>
      </c>
      <c r="B64" s="132">
        <v>47602.0</v>
      </c>
      <c r="C64" s="146"/>
      <c r="D64" s="135">
        <f t="shared" si="1"/>
        <v>6.2</v>
      </c>
      <c r="E64" s="135">
        <f>ROUNDDOWN($C$4/60,1)+1.1</f>
        <v>616.5</v>
      </c>
      <c r="F64" s="133">
        <f t="shared" si="3"/>
        <v>622.7</v>
      </c>
      <c r="G64" s="135">
        <f t="shared" si="4"/>
        <v>0</v>
      </c>
    </row>
    <row r="65" ht="14.25" customHeight="1">
      <c r="A65" s="129" t="s">
        <v>252</v>
      </c>
      <c r="B65" s="2"/>
      <c r="C65" s="3"/>
      <c r="D65" s="147">
        <f t="shared" ref="D65:F65" si="5">+SUM(D5:D64)</f>
        <v>11262.5</v>
      </c>
      <c r="E65" s="147">
        <f t="shared" si="5"/>
        <v>36925.1</v>
      </c>
      <c r="F65" s="147">
        <f t="shared" si="5"/>
        <v>48187.6</v>
      </c>
      <c r="G65" s="148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65:C65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369</v>
      </c>
      <c r="B1" s="2"/>
      <c r="C1" s="2"/>
      <c r="D1" s="2"/>
      <c r="E1" s="2"/>
      <c r="F1" s="2"/>
      <c r="G1" s="3"/>
    </row>
    <row r="2" ht="14.25" customHeight="1">
      <c r="A2" s="129" t="s">
        <v>355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 t="s">
        <v>231</v>
      </c>
      <c r="C4" s="133">
        <f>+J7</f>
        <v>12049.4</v>
      </c>
      <c r="D4" s="134">
        <v>0.01</v>
      </c>
      <c r="E4" s="135"/>
      <c r="F4" s="135"/>
      <c r="G4" s="135">
        <f>+C4</f>
        <v>12049.4</v>
      </c>
    </row>
    <row r="5" ht="14.25" customHeight="1">
      <c r="A5" s="136">
        <v>1.0</v>
      </c>
      <c r="B5" s="137">
        <v>45745.0</v>
      </c>
      <c r="C5" s="138"/>
      <c r="D5" s="138">
        <f t="shared" ref="D5:D64" si="1">+ROUND(G4*0.01,1)</f>
        <v>120.5</v>
      </c>
      <c r="E5" s="138">
        <f t="shared" ref="E5:E63" si="2">ROUNDDOWN($C$4/60,1)</f>
        <v>200.8</v>
      </c>
      <c r="F5" s="139">
        <f t="shared" ref="F5:F64" si="3">+ROUND(D5+E5,1)</f>
        <v>321.3</v>
      </c>
      <c r="G5" s="138">
        <f t="shared" ref="G5:G64" si="4">+ROUND(G4-E5,1)</f>
        <v>11848.6</v>
      </c>
      <c r="I5" s="140" t="s">
        <v>209</v>
      </c>
      <c r="J5" s="141">
        <v>6577.2000000000135</v>
      </c>
    </row>
    <row r="6" ht="14.25" customHeight="1">
      <c r="A6" s="136">
        <v>2.0</v>
      </c>
      <c r="B6" s="137">
        <v>45776.0</v>
      </c>
      <c r="C6" s="144"/>
      <c r="D6" s="138">
        <f t="shared" si="1"/>
        <v>118.5</v>
      </c>
      <c r="E6" s="138">
        <f t="shared" si="2"/>
        <v>200.8</v>
      </c>
      <c r="F6" s="139">
        <f t="shared" si="3"/>
        <v>319.3</v>
      </c>
      <c r="G6" s="138">
        <f t="shared" si="4"/>
        <v>11647.8</v>
      </c>
      <c r="I6" s="140" t="s">
        <v>331</v>
      </c>
      <c r="J6" s="141">
        <v>5472.2</v>
      </c>
    </row>
    <row r="7" ht="14.25" customHeight="1">
      <c r="A7" s="136">
        <v>3.0</v>
      </c>
      <c r="B7" s="137">
        <v>45806.0</v>
      </c>
      <c r="C7" s="144"/>
      <c r="D7" s="138">
        <f t="shared" si="1"/>
        <v>116.5</v>
      </c>
      <c r="E7" s="138">
        <f t="shared" si="2"/>
        <v>200.8</v>
      </c>
      <c r="F7" s="139">
        <f t="shared" si="3"/>
        <v>317.3</v>
      </c>
      <c r="G7" s="138">
        <f t="shared" si="4"/>
        <v>11447</v>
      </c>
      <c r="I7" s="142" t="s">
        <v>252</v>
      </c>
      <c r="J7" s="143">
        <f>+SUM(J5:J6)</f>
        <v>12049.4</v>
      </c>
    </row>
    <row r="8" ht="14.25" customHeight="1">
      <c r="A8" s="136">
        <v>4.0</v>
      </c>
      <c r="B8" s="137">
        <v>45837.0</v>
      </c>
      <c r="C8" s="144"/>
      <c r="D8" s="138">
        <f t="shared" si="1"/>
        <v>114.5</v>
      </c>
      <c r="E8" s="138">
        <f t="shared" si="2"/>
        <v>200.8</v>
      </c>
      <c r="F8" s="139">
        <f t="shared" si="3"/>
        <v>315.3</v>
      </c>
      <c r="G8" s="138">
        <f t="shared" si="4"/>
        <v>11246.2</v>
      </c>
    </row>
    <row r="9" ht="14.25" customHeight="1">
      <c r="A9" s="136">
        <v>5.0</v>
      </c>
      <c r="B9" s="137">
        <v>45867.0</v>
      </c>
      <c r="C9" s="144"/>
      <c r="D9" s="138">
        <f t="shared" si="1"/>
        <v>112.5</v>
      </c>
      <c r="E9" s="138">
        <f t="shared" si="2"/>
        <v>200.8</v>
      </c>
      <c r="F9" s="139">
        <f t="shared" si="3"/>
        <v>313.3</v>
      </c>
      <c r="G9" s="138">
        <f t="shared" si="4"/>
        <v>11045.4</v>
      </c>
    </row>
    <row r="10" ht="14.25" customHeight="1">
      <c r="A10" s="136">
        <v>6.0</v>
      </c>
      <c r="B10" s="137">
        <v>45898.0</v>
      </c>
      <c r="C10" s="144"/>
      <c r="D10" s="138">
        <f t="shared" si="1"/>
        <v>110.5</v>
      </c>
      <c r="E10" s="138">
        <f t="shared" si="2"/>
        <v>200.8</v>
      </c>
      <c r="F10" s="139">
        <f t="shared" si="3"/>
        <v>311.3</v>
      </c>
      <c r="G10" s="138">
        <f t="shared" si="4"/>
        <v>10844.6</v>
      </c>
    </row>
    <row r="11" ht="14.25" customHeight="1">
      <c r="A11" s="136">
        <v>7.0</v>
      </c>
      <c r="B11" s="137">
        <v>45929.0</v>
      </c>
      <c r="C11" s="144"/>
      <c r="D11" s="138">
        <f t="shared" si="1"/>
        <v>108.4</v>
      </c>
      <c r="E11" s="138">
        <f t="shared" si="2"/>
        <v>200.8</v>
      </c>
      <c r="F11" s="139">
        <f t="shared" si="3"/>
        <v>309.2</v>
      </c>
      <c r="G11" s="138">
        <f t="shared" si="4"/>
        <v>10643.8</v>
      </c>
      <c r="I11" s="165" t="s">
        <v>328</v>
      </c>
      <c r="J11" s="167">
        <f>SUM(D5:D12)</f>
        <v>907.8</v>
      </c>
    </row>
    <row r="12" ht="14.25" customHeight="1">
      <c r="A12" s="154">
        <v>8.0</v>
      </c>
      <c r="B12" s="155">
        <v>45959.0</v>
      </c>
      <c r="C12" s="168"/>
      <c r="D12" s="157">
        <f t="shared" si="1"/>
        <v>106.4</v>
      </c>
      <c r="E12" s="157">
        <f t="shared" si="2"/>
        <v>200.8</v>
      </c>
      <c r="F12" s="157">
        <f t="shared" si="3"/>
        <v>307.2</v>
      </c>
      <c r="G12" s="157">
        <f t="shared" si="4"/>
        <v>10443</v>
      </c>
      <c r="I12" s="165" t="s">
        <v>209</v>
      </c>
      <c r="J12" s="167">
        <f>G12</f>
        <v>10443</v>
      </c>
    </row>
    <row r="13" ht="14.25" hidden="1" customHeight="1">
      <c r="A13" s="159">
        <v>9.0</v>
      </c>
      <c r="B13" s="160">
        <v>45990.0</v>
      </c>
      <c r="C13" s="161"/>
      <c r="D13" s="162">
        <f t="shared" si="1"/>
        <v>104.4</v>
      </c>
      <c r="E13" s="162">
        <f t="shared" si="2"/>
        <v>200.8</v>
      </c>
      <c r="F13" s="163">
        <f t="shared" si="3"/>
        <v>305.2</v>
      </c>
      <c r="G13" s="162">
        <f t="shared" si="4"/>
        <v>10242.2</v>
      </c>
    </row>
    <row r="14" ht="14.25" hidden="1" customHeight="1">
      <c r="A14" s="159">
        <v>10.0</v>
      </c>
      <c r="B14" s="160">
        <v>46020.0</v>
      </c>
      <c r="C14" s="161"/>
      <c r="D14" s="162">
        <f t="shared" si="1"/>
        <v>102.4</v>
      </c>
      <c r="E14" s="162">
        <f t="shared" si="2"/>
        <v>200.8</v>
      </c>
      <c r="F14" s="163">
        <f t="shared" si="3"/>
        <v>303.2</v>
      </c>
      <c r="G14" s="162">
        <f t="shared" si="4"/>
        <v>10041.4</v>
      </c>
    </row>
    <row r="15" ht="14.25" hidden="1" customHeight="1">
      <c r="A15" s="159">
        <v>11.0</v>
      </c>
      <c r="B15" s="160">
        <v>46051.0</v>
      </c>
      <c r="C15" s="161"/>
      <c r="D15" s="162">
        <f t="shared" si="1"/>
        <v>100.4</v>
      </c>
      <c r="E15" s="162">
        <f t="shared" si="2"/>
        <v>200.8</v>
      </c>
      <c r="F15" s="163">
        <f t="shared" si="3"/>
        <v>301.2</v>
      </c>
      <c r="G15" s="162">
        <f t="shared" si="4"/>
        <v>9840.6</v>
      </c>
    </row>
    <row r="16" ht="14.25" hidden="1" customHeight="1">
      <c r="A16" s="159">
        <v>12.0</v>
      </c>
      <c r="B16" s="160">
        <v>46081.0</v>
      </c>
      <c r="C16" s="161"/>
      <c r="D16" s="162">
        <f t="shared" si="1"/>
        <v>98.4</v>
      </c>
      <c r="E16" s="162">
        <f t="shared" si="2"/>
        <v>200.8</v>
      </c>
      <c r="F16" s="163">
        <f t="shared" si="3"/>
        <v>299.2</v>
      </c>
      <c r="G16" s="162">
        <f t="shared" si="4"/>
        <v>9639.8</v>
      </c>
    </row>
    <row r="17" ht="14.25" hidden="1" customHeight="1">
      <c r="A17" s="159">
        <v>13.0</v>
      </c>
      <c r="B17" s="160">
        <v>46110.0</v>
      </c>
      <c r="C17" s="161"/>
      <c r="D17" s="162">
        <f t="shared" si="1"/>
        <v>96.4</v>
      </c>
      <c r="E17" s="162">
        <f t="shared" si="2"/>
        <v>200.8</v>
      </c>
      <c r="F17" s="163">
        <f t="shared" si="3"/>
        <v>297.2</v>
      </c>
      <c r="G17" s="162">
        <f t="shared" si="4"/>
        <v>9439</v>
      </c>
    </row>
    <row r="18" ht="14.25" hidden="1" customHeight="1">
      <c r="A18" s="159">
        <v>14.0</v>
      </c>
      <c r="B18" s="160">
        <v>46141.0</v>
      </c>
      <c r="C18" s="161"/>
      <c r="D18" s="162">
        <f t="shared" si="1"/>
        <v>94.4</v>
      </c>
      <c r="E18" s="162">
        <f t="shared" si="2"/>
        <v>200.8</v>
      </c>
      <c r="F18" s="163">
        <f t="shared" si="3"/>
        <v>295.2</v>
      </c>
      <c r="G18" s="162">
        <f t="shared" si="4"/>
        <v>9238.2</v>
      </c>
    </row>
    <row r="19" ht="14.25" hidden="1" customHeight="1">
      <c r="A19" s="159">
        <v>15.0</v>
      </c>
      <c r="B19" s="160">
        <v>46171.0</v>
      </c>
      <c r="C19" s="161"/>
      <c r="D19" s="162">
        <f t="shared" si="1"/>
        <v>92.4</v>
      </c>
      <c r="E19" s="162">
        <f t="shared" si="2"/>
        <v>200.8</v>
      </c>
      <c r="F19" s="163">
        <f t="shared" si="3"/>
        <v>293.2</v>
      </c>
      <c r="G19" s="162">
        <f t="shared" si="4"/>
        <v>9037.4</v>
      </c>
    </row>
    <row r="20" ht="14.25" hidden="1" customHeight="1">
      <c r="A20" s="159">
        <v>16.0</v>
      </c>
      <c r="B20" s="160">
        <v>46202.0</v>
      </c>
      <c r="C20" s="161"/>
      <c r="D20" s="162">
        <f t="shared" si="1"/>
        <v>90.4</v>
      </c>
      <c r="E20" s="162">
        <f t="shared" si="2"/>
        <v>200.8</v>
      </c>
      <c r="F20" s="163">
        <f t="shared" si="3"/>
        <v>291.2</v>
      </c>
      <c r="G20" s="162">
        <f t="shared" si="4"/>
        <v>8836.6</v>
      </c>
    </row>
    <row r="21" ht="14.25" hidden="1" customHeight="1">
      <c r="A21" s="159">
        <v>17.0</v>
      </c>
      <c r="B21" s="160">
        <v>46232.0</v>
      </c>
      <c r="C21" s="161"/>
      <c r="D21" s="162">
        <f t="shared" si="1"/>
        <v>88.4</v>
      </c>
      <c r="E21" s="162">
        <f t="shared" si="2"/>
        <v>200.8</v>
      </c>
      <c r="F21" s="163">
        <f t="shared" si="3"/>
        <v>289.2</v>
      </c>
      <c r="G21" s="162">
        <f t="shared" si="4"/>
        <v>8635.8</v>
      </c>
    </row>
    <row r="22" ht="14.25" hidden="1" customHeight="1">
      <c r="A22" s="159">
        <v>18.0</v>
      </c>
      <c r="B22" s="160">
        <v>46263.0</v>
      </c>
      <c r="C22" s="161"/>
      <c r="D22" s="162">
        <f t="shared" si="1"/>
        <v>86.4</v>
      </c>
      <c r="E22" s="162">
        <f t="shared" si="2"/>
        <v>200.8</v>
      </c>
      <c r="F22" s="163">
        <f t="shared" si="3"/>
        <v>287.2</v>
      </c>
      <c r="G22" s="162">
        <f t="shared" si="4"/>
        <v>8435</v>
      </c>
    </row>
    <row r="23" ht="14.25" hidden="1" customHeight="1">
      <c r="A23" s="159">
        <v>19.0</v>
      </c>
      <c r="B23" s="160">
        <v>46294.0</v>
      </c>
      <c r="C23" s="161"/>
      <c r="D23" s="162">
        <f t="shared" si="1"/>
        <v>84.4</v>
      </c>
      <c r="E23" s="162">
        <f t="shared" si="2"/>
        <v>200.8</v>
      </c>
      <c r="F23" s="163">
        <f t="shared" si="3"/>
        <v>285.2</v>
      </c>
      <c r="G23" s="162">
        <f t="shared" si="4"/>
        <v>8234.2</v>
      </c>
    </row>
    <row r="24" ht="14.25" hidden="1" customHeight="1">
      <c r="A24" s="159">
        <v>20.0</v>
      </c>
      <c r="B24" s="160">
        <v>46324.0</v>
      </c>
      <c r="C24" s="161"/>
      <c r="D24" s="162">
        <f t="shared" si="1"/>
        <v>82.3</v>
      </c>
      <c r="E24" s="162">
        <f t="shared" si="2"/>
        <v>200.8</v>
      </c>
      <c r="F24" s="163">
        <f t="shared" si="3"/>
        <v>283.1</v>
      </c>
      <c r="G24" s="162">
        <f t="shared" si="4"/>
        <v>8033.4</v>
      </c>
    </row>
    <row r="25" ht="14.25" hidden="1" customHeight="1">
      <c r="A25" s="159">
        <v>21.0</v>
      </c>
      <c r="B25" s="160">
        <v>46355.0</v>
      </c>
      <c r="C25" s="161"/>
      <c r="D25" s="162">
        <f t="shared" si="1"/>
        <v>80.3</v>
      </c>
      <c r="E25" s="162">
        <f t="shared" si="2"/>
        <v>200.8</v>
      </c>
      <c r="F25" s="163">
        <f t="shared" si="3"/>
        <v>281.1</v>
      </c>
      <c r="G25" s="162">
        <f t="shared" si="4"/>
        <v>7832.6</v>
      </c>
    </row>
    <row r="26" ht="14.25" hidden="1" customHeight="1">
      <c r="A26" s="159">
        <v>22.0</v>
      </c>
      <c r="B26" s="160">
        <v>46385.0</v>
      </c>
      <c r="C26" s="161"/>
      <c r="D26" s="162">
        <f t="shared" si="1"/>
        <v>78.3</v>
      </c>
      <c r="E26" s="162">
        <f t="shared" si="2"/>
        <v>200.8</v>
      </c>
      <c r="F26" s="163">
        <f t="shared" si="3"/>
        <v>279.1</v>
      </c>
      <c r="G26" s="162">
        <f t="shared" si="4"/>
        <v>7631.8</v>
      </c>
    </row>
    <row r="27" ht="14.25" hidden="1" customHeight="1">
      <c r="A27" s="159">
        <v>23.0</v>
      </c>
      <c r="B27" s="160">
        <v>46416.0</v>
      </c>
      <c r="C27" s="161"/>
      <c r="D27" s="162">
        <f t="shared" si="1"/>
        <v>76.3</v>
      </c>
      <c r="E27" s="162">
        <f t="shared" si="2"/>
        <v>200.8</v>
      </c>
      <c r="F27" s="163">
        <f t="shared" si="3"/>
        <v>277.1</v>
      </c>
      <c r="G27" s="162">
        <f t="shared" si="4"/>
        <v>7431</v>
      </c>
    </row>
    <row r="28" ht="14.25" hidden="1" customHeight="1">
      <c r="A28" s="159">
        <v>24.0</v>
      </c>
      <c r="B28" s="160">
        <v>46446.0</v>
      </c>
      <c r="C28" s="161"/>
      <c r="D28" s="162">
        <f t="shared" si="1"/>
        <v>74.3</v>
      </c>
      <c r="E28" s="162">
        <f t="shared" si="2"/>
        <v>200.8</v>
      </c>
      <c r="F28" s="163">
        <f t="shared" si="3"/>
        <v>275.1</v>
      </c>
      <c r="G28" s="162">
        <f t="shared" si="4"/>
        <v>7230.2</v>
      </c>
    </row>
    <row r="29" ht="14.25" hidden="1" customHeight="1">
      <c r="A29" s="159">
        <v>25.0</v>
      </c>
      <c r="B29" s="160">
        <v>46475.0</v>
      </c>
      <c r="C29" s="161"/>
      <c r="D29" s="162">
        <f t="shared" si="1"/>
        <v>72.3</v>
      </c>
      <c r="E29" s="162">
        <f t="shared" si="2"/>
        <v>200.8</v>
      </c>
      <c r="F29" s="163">
        <f t="shared" si="3"/>
        <v>273.1</v>
      </c>
      <c r="G29" s="162">
        <f t="shared" si="4"/>
        <v>7029.4</v>
      </c>
    </row>
    <row r="30" ht="14.25" hidden="1" customHeight="1">
      <c r="A30" s="159">
        <v>26.0</v>
      </c>
      <c r="B30" s="160">
        <v>46506.0</v>
      </c>
      <c r="C30" s="161"/>
      <c r="D30" s="162">
        <f t="shared" si="1"/>
        <v>70.3</v>
      </c>
      <c r="E30" s="162">
        <f t="shared" si="2"/>
        <v>200.8</v>
      </c>
      <c r="F30" s="163">
        <f t="shared" si="3"/>
        <v>271.1</v>
      </c>
      <c r="G30" s="162">
        <f t="shared" si="4"/>
        <v>6828.6</v>
      </c>
    </row>
    <row r="31" ht="14.25" hidden="1" customHeight="1">
      <c r="A31" s="159">
        <v>27.0</v>
      </c>
      <c r="B31" s="160">
        <v>46536.0</v>
      </c>
      <c r="C31" s="161"/>
      <c r="D31" s="162">
        <f t="shared" si="1"/>
        <v>68.3</v>
      </c>
      <c r="E31" s="162">
        <f t="shared" si="2"/>
        <v>200.8</v>
      </c>
      <c r="F31" s="163">
        <f t="shared" si="3"/>
        <v>269.1</v>
      </c>
      <c r="G31" s="162">
        <f t="shared" si="4"/>
        <v>6627.8</v>
      </c>
    </row>
    <row r="32" ht="14.25" hidden="1" customHeight="1">
      <c r="A32" s="159">
        <v>28.0</v>
      </c>
      <c r="B32" s="160">
        <v>46567.0</v>
      </c>
      <c r="C32" s="161"/>
      <c r="D32" s="162">
        <f t="shared" si="1"/>
        <v>66.3</v>
      </c>
      <c r="E32" s="162">
        <f t="shared" si="2"/>
        <v>200.8</v>
      </c>
      <c r="F32" s="163">
        <f t="shared" si="3"/>
        <v>267.1</v>
      </c>
      <c r="G32" s="162">
        <f t="shared" si="4"/>
        <v>6427</v>
      </c>
    </row>
    <row r="33" ht="14.25" hidden="1" customHeight="1">
      <c r="A33" s="159">
        <v>29.0</v>
      </c>
      <c r="B33" s="160">
        <v>46597.0</v>
      </c>
      <c r="C33" s="161"/>
      <c r="D33" s="162">
        <f t="shared" si="1"/>
        <v>64.3</v>
      </c>
      <c r="E33" s="162">
        <f t="shared" si="2"/>
        <v>200.8</v>
      </c>
      <c r="F33" s="163">
        <f t="shared" si="3"/>
        <v>265.1</v>
      </c>
      <c r="G33" s="162">
        <f t="shared" si="4"/>
        <v>6226.2</v>
      </c>
    </row>
    <row r="34" ht="14.25" hidden="1" customHeight="1">
      <c r="A34" s="159">
        <v>30.0</v>
      </c>
      <c r="B34" s="160">
        <v>46628.0</v>
      </c>
      <c r="C34" s="161"/>
      <c r="D34" s="162">
        <f t="shared" si="1"/>
        <v>62.3</v>
      </c>
      <c r="E34" s="162">
        <f t="shared" si="2"/>
        <v>200.8</v>
      </c>
      <c r="F34" s="163">
        <f t="shared" si="3"/>
        <v>263.1</v>
      </c>
      <c r="G34" s="162">
        <f t="shared" si="4"/>
        <v>6025.4</v>
      </c>
    </row>
    <row r="35" ht="14.25" hidden="1" customHeight="1">
      <c r="A35" s="159">
        <v>31.0</v>
      </c>
      <c r="B35" s="160">
        <v>46659.0</v>
      </c>
      <c r="C35" s="161"/>
      <c r="D35" s="162">
        <f t="shared" si="1"/>
        <v>60.3</v>
      </c>
      <c r="E35" s="162">
        <f t="shared" si="2"/>
        <v>200.8</v>
      </c>
      <c r="F35" s="163">
        <f t="shared" si="3"/>
        <v>261.1</v>
      </c>
      <c r="G35" s="162">
        <f t="shared" si="4"/>
        <v>5824.6</v>
      </c>
    </row>
    <row r="36" ht="14.25" hidden="1" customHeight="1">
      <c r="A36" s="159">
        <v>32.0</v>
      </c>
      <c r="B36" s="160">
        <v>46689.0</v>
      </c>
      <c r="C36" s="161"/>
      <c r="D36" s="162">
        <f t="shared" si="1"/>
        <v>58.2</v>
      </c>
      <c r="E36" s="162">
        <f t="shared" si="2"/>
        <v>200.8</v>
      </c>
      <c r="F36" s="163">
        <f t="shared" si="3"/>
        <v>259</v>
      </c>
      <c r="G36" s="162">
        <f t="shared" si="4"/>
        <v>5623.8</v>
      </c>
    </row>
    <row r="37" ht="14.25" hidden="1" customHeight="1">
      <c r="A37" s="159">
        <v>33.0</v>
      </c>
      <c r="B37" s="160">
        <v>46720.0</v>
      </c>
      <c r="C37" s="161"/>
      <c r="D37" s="162">
        <f t="shared" si="1"/>
        <v>56.2</v>
      </c>
      <c r="E37" s="162">
        <f t="shared" si="2"/>
        <v>200.8</v>
      </c>
      <c r="F37" s="163">
        <f t="shared" si="3"/>
        <v>257</v>
      </c>
      <c r="G37" s="162">
        <f t="shared" si="4"/>
        <v>5423</v>
      </c>
    </row>
    <row r="38" ht="14.25" hidden="1" customHeight="1">
      <c r="A38" s="159">
        <v>34.0</v>
      </c>
      <c r="B38" s="160">
        <v>46750.0</v>
      </c>
      <c r="C38" s="161"/>
      <c r="D38" s="162">
        <f t="shared" si="1"/>
        <v>54.2</v>
      </c>
      <c r="E38" s="162">
        <f t="shared" si="2"/>
        <v>200.8</v>
      </c>
      <c r="F38" s="163">
        <f t="shared" si="3"/>
        <v>255</v>
      </c>
      <c r="G38" s="162">
        <f t="shared" si="4"/>
        <v>5222.2</v>
      </c>
    </row>
    <row r="39" ht="14.25" hidden="1" customHeight="1">
      <c r="A39" s="159">
        <v>35.0</v>
      </c>
      <c r="B39" s="160">
        <v>46781.0</v>
      </c>
      <c r="C39" s="161"/>
      <c r="D39" s="162">
        <f t="shared" si="1"/>
        <v>52.2</v>
      </c>
      <c r="E39" s="162">
        <f t="shared" si="2"/>
        <v>200.8</v>
      </c>
      <c r="F39" s="163">
        <f t="shared" si="3"/>
        <v>253</v>
      </c>
      <c r="G39" s="162">
        <f t="shared" si="4"/>
        <v>5021.4</v>
      </c>
    </row>
    <row r="40" ht="14.25" hidden="1" customHeight="1">
      <c r="A40" s="159">
        <v>36.0</v>
      </c>
      <c r="B40" s="160">
        <v>46812.0</v>
      </c>
      <c r="C40" s="161"/>
      <c r="D40" s="162">
        <f t="shared" si="1"/>
        <v>50.2</v>
      </c>
      <c r="E40" s="162">
        <f t="shared" si="2"/>
        <v>200.8</v>
      </c>
      <c r="F40" s="163">
        <f t="shared" si="3"/>
        <v>251</v>
      </c>
      <c r="G40" s="162">
        <f t="shared" si="4"/>
        <v>4820.6</v>
      </c>
    </row>
    <row r="41" ht="14.25" hidden="1" customHeight="1">
      <c r="A41" s="159">
        <v>37.0</v>
      </c>
      <c r="B41" s="160">
        <v>46841.0</v>
      </c>
      <c r="C41" s="161"/>
      <c r="D41" s="162">
        <f t="shared" si="1"/>
        <v>48.2</v>
      </c>
      <c r="E41" s="162">
        <f t="shared" si="2"/>
        <v>200.8</v>
      </c>
      <c r="F41" s="163">
        <f t="shared" si="3"/>
        <v>249</v>
      </c>
      <c r="G41" s="162">
        <f t="shared" si="4"/>
        <v>4619.8</v>
      </c>
    </row>
    <row r="42" ht="14.25" hidden="1" customHeight="1">
      <c r="A42" s="159">
        <v>38.0</v>
      </c>
      <c r="B42" s="160">
        <v>46872.0</v>
      </c>
      <c r="C42" s="161"/>
      <c r="D42" s="162">
        <f t="shared" si="1"/>
        <v>46.2</v>
      </c>
      <c r="E42" s="162">
        <f t="shared" si="2"/>
        <v>200.8</v>
      </c>
      <c r="F42" s="163">
        <f t="shared" si="3"/>
        <v>247</v>
      </c>
      <c r="G42" s="162">
        <f t="shared" si="4"/>
        <v>4419</v>
      </c>
    </row>
    <row r="43" ht="14.25" hidden="1" customHeight="1">
      <c r="A43" s="159">
        <v>39.0</v>
      </c>
      <c r="B43" s="160">
        <v>46902.0</v>
      </c>
      <c r="C43" s="161"/>
      <c r="D43" s="162">
        <f t="shared" si="1"/>
        <v>44.2</v>
      </c>
      <c r="E43" s="162">
        <f t="shared" si="2"/>
        <v>200.8</v>
      </c>
      <c r="F43" s="163">
        <f t="shared" si="3"/>
        <v>245</v>
      </c>
      <c r="G43" s="162">
        <f t="shared" si="4"/>
        <v>4218.2</v>
      </c>
    </row>
    <row r="44" ht="14.25" hidden="1" customHeight="1">
      <c r="A44" s="159">
        <v>40.0</v>
      </c>
      <c r="B44" s="160">
        <v>46933.0</v>
      </c>
      <c r="C44" s="161"/>
      <c r="D44" s="162">
        <f t="shared" si="1"/>
        <v>42.2</v>
      </c>
      <c r="E44" s="162">
        <f t="shared" si="2"/>
        <v>200.8</v>
      </c>
      <c r="F44" s="163">
        <f t="shared" si="3"/>
        <v>243</v>
      </c>
      <c r="G44" s="162">
        <f t="shared" si="4"/>
        <v>4017.4</v>
      </c>
    </row>
    <row r="45" ht="14.25" hidden="1" customHeight="1">
      <c r="A45" s="159">
        <v>41.0</v>
      </c>
      <c r="B45" s="160">
        <v>46963.0</v>
      </c>
      <c r="C45" s="161"/>
      <c r="D45" s="162">
        <f t="shared" si="1"/>
        <v>40.2</v>
      </c>
      <c r="E45" s="162">
        <f t="shared" si="2"/>
        <v>200.8</v>
      </c>
      <c r="F45" s="163">
        <f t="shared" si="3"/>
        <v>241</v>
      </c>
      <c r="G45" s="162">
        <f t="shared" si="4"/>
        <v>3816.6</v>
      </c>
    </row>
    <row r="46" ht="14.25" hidden="1" customHeight="1">
      <c r="A46" s="159">
        <v>42.0</v>
      </c>
      <c r="B46" s="160">
        <v>46994.0</v>
      </c>
      <c r="C46" s="161"/>
      <c r="D46" s="162">
        <f t="shared" si="1"/>
        <v>38.2</v>
      </c>
      <c r="E46" s="162">
        <f t="shared" si="2"/>
        <v>200.8</v>
      </c>
      <c r="F46" s="163">
        <f t="shared" si="3"/>
        <v>239</v>
      </c>
      <c r="G46" s="162">
        <f t="shared" si="4"/>
        <v>3615.8</v>
      </c>
    </row>
    <row r="47" ht="14.25" hidden="1" customHeight="1">
      <c r="A47" s="159">
        <v>43.0</v>
      </c>
      <c r="B47" s="160">
        <v>47025.0</v>
      </c>
      <c r="C47" s="161"/>
      <c r="D47" s="162">
        <f t="shared" si="1"/>
        <v>36.2</v>
      </c>
      <c r="E47" s="162">
        <f t="shared" si="2"/>
        <v>200.8</v>
      </c>
      <c r="F47" s="163">
        <f t="shared" si="3"/>
        <v>237</v>
      </c>
      <c r="G47" s="162">
        <f t="shared" si="4"/>
        <v>3415</v>
      </c>
    </row>
    <row r="48" ht="14.25" hidden="1" customHeight="1">
      <c r="A48" s="159">
        <v>44.0</v>
      </c>
      <c r="B48" s="160">
        <v>47055.0</v>
      </c>
      <c r="C48" s="161"/>
      <c r="D48" s="162">
        <f t="shared" si="1"/>
        <v>34.2</v>
      </c>
      <c r="E48" s="162">
        <f t="shared" si="2"/>
        <v>200.8</v>
      </c>
      <c r="F48" s="163">
        <f t="shared" si="3"/>
        <v>235</v>
      </c>
      <c r="G48" s="162">
        <f t="shared" si="4"/>
        <v>3214.2</v>
      </c>
    </row>
    <row r="49" ht="14.25" hidden="1" customHeight="1">
      <c r="A49" s="159">
        <v>45.0</v>
      </c>
      <c r="B49" s="160">
        <v>47086.0</v>
      </c>
      <c r="C49" s="161"/>
      <c r="D49" s="162">
        <f t="shared" si="1"/>
        <v>32.1</v>
      </c>
      <c r="E49" s="162">
        <f t="shared" si="2"/>
        <v>200.8</v>
      </c>
      <c r="F49" s="163">
        <f t="shared" si="3"/>
        <v>232.9</v>
      </c>
      <c r="G49" s="162">
        <f t="shared" si="4"/>
        <v>3013.4</v>
      </c>
    </row>
    <row r="50" ht="14.25" hidden="1" customHeight="1">
      <c r="A50" s="159">
        <v>46.0</v>
      </c>
      <c r="B50" s="160">
        <v>47116.0</v>
      </c>
      <c r="C50" s="161"/>
      <c r="D50" s="162">
        <f t="shared" si="1"/>
        <v>30.1</v>
      </c>
      <c r="E50" s="162">
        <f t="shared" si="2"/>
        <v>200.8</v>
      </c>
      <c r="F50" s="163">
        <f t="shared" si="3"/>
        <v>230.9</v>
      </c>
      <c r="G50" s="162">
        <f t="shared" si="4"/>
        <v>2812.6</v>
      </c>
    </row>
    <row r="51" ht="14.25" hidden="1" customHeight="1">
      <c r="A51" s="159">
        <v>47.0</v>
      </c>
      <c r="B51" s="160">
        <v>47147.0</v>
      </c>
      <c r="C51" s="161"/>
      <c r="D51" s="162">
        <f t="shared" si="1"/>
        <v>28.1</v>
      </c>
      <c r="E51" s="162">
        <f t="shared" si="2"/>
        <v>200.8</v>
      </c>
      <c r="F51" s="163">
        <f t="shared" si="3"/>
        <v>228.9</v>
      </c>
      <c r="G51" s="162">
        <f t="shared" si="4"/>
        <v>2611.8</v>
      </c>
    </row>
    <row r="52" ht="14.25" hidden="1" customHeight="1">
      <c r="A52" s="159">
        <v>48.0</v>
      </c>
      <c r="B52" s="160">
        <v>47177.0</v>
      </c>
      <c r="C52" s="161"/>
      <c r="D52" s="162">
        <f t="shared" si="1"/>
        <v>26.1</v>
      </c>
      <c r="E52" s="162">
        <f t="shared" si="2"/>
        <v>200.8</v>
      </c>
      <c r="F52" s="163">
        <f t="shared" si="3"/>
        <v>226.9</v>
      </c>
      <c r="G52" s="162">
        <f t="shared" si="4"/>
        <v>2411</v>
      </c>
    </row>
    <row r="53" ht="14.25" hidden="1" customHeight="1">
      <c r="A53" s="159">
        <v>49.0</v>
      </c>
      <c r="B53" s="160">
        <v>47206.0</v>
      </c>
      <c r="C53" s="161"/>
      <c r="D53" s="162">
        <f t="shared" si="1"/>
        <v>24.1</v>
      </c>
      <c r="E53" s="162">
        <f t="shared" si="2"/>
        <v>200.8</v>
      </c>
      <c r="F53" s="163">
        <f t="shared" si="3"/>
        <v>224.9</v>
      </c>
      <c r="G53" s="162">
        <f t="shared" si="4"/>
        <v>2210.2</v>
      </c>
    </row>
    <row r="54" ht="14.25" hidden="1" customHeight="1">
      <c r="A54" s="159">
        <v>50.0</v>
      </c>
      <c r="B54" s="160">
        <v>47237.0</v>
      </c>
      <c r="C54" s="161"/>
      <c r="D54" s="162">
        <f t="shared" si="1"/>
        <v>22.1</v>
      </c>
      <c r="E54" s="162">
        <f t="shared" si="2"/>
        <v>200.8</v>
      </c>
      <c r="F54" s="163">
        <f t="shared" si="3"/>
        <v>222.9</v>
      </c>
      <c r="G54" s="162">
        <f t="shared" si="4"/>
        <v>2009.4</v>
      </c>
    </row>
    <row r="55" ht="14.25" hidden="1" customHeight="1">
      <c r="A55" s="159">
        <v>51.0</v>
      </c>
      <c r="B55" s="160">
        <v>47267.0</v>
      </c>
      <c r="C55" s="161"/>
      <c r="D55" s="162">
        <f t="shared" si="1"/>
        <v>20.1</v>
      </c>
      <c r="E55" s="162">
        <f t="shared" si="2"/>
        <v>200.8</v>
      </c>
      <c r="F55" s="163">
        <f t="shared" si="3"/>
        <v>220.9</v>
      </c>
      <c r="G55" s="162">
        <f t="shared" si="4"/>
        <v>1808.6</v>
      </c>
    </row>
    <row r="56" ht="14.25" hidden="1" customHeight="1">
      <c r="A56" s="159">
        <v>52.0</v>
      </c>
      <c r="B56" s="160">
        <v>47298.0</v>
      </c>
      <c r="C56" s="161"/>
      <c r="D56" s="162">
        <f t="shared" si="1"/>
        <v>18.1</v>
      </c>
      <c r="E56" s="162">
        <f t="shared" si="2"/>
        <v>200.8</v>
      </c>
      <c r="F56" s="163">
        <f t="shared" si="3"/>
        <v>218.9</v>
      </c>
      <c r="G56" s="162">
        <f t="shared" si="4"/>
        <v>1607.8</v>
      </c>
    </row>
    <row r="57" ht="14.25" hidden="1" customHeight="1">
      <c r="A57" s="159">
        <v>53.0</v>
      </c>
      <c r="B57" s="160">
        <v>47328.0</v>
      </c>
      <c r="C57" s="161"/>
      <c r="D57" s="162">
        <f t="shared" si="1"/>
        <v>16.1</v>
      </c>
      <c r="E57" s="162">
        <f t="shared" si="2"/>
        <v>200.8</v>
      </c>
      <c r="F57" s="163">
        <f t="shared" si="3"/>
        <v>216.9</v>
      </c>
      <c r="G57" s="162">
        <f t="shared" si="4"/>
        <v>1407</v>
      </c>
    </row>
    <row r="58" ht="14.25" hidden="1" customHeight="1">
      <c r="A58" s="159">
        <v>54.0</v>
      </c>
      <c r="B58" s="160">
        <v>47359.0</v>
      </c>
      <c r="C58" s="161"/>
      <c r="D58" s="162">
        <f t="shared" si="1"/>
        <v>14.1</v>
      </c>
      <c r="E58" s="162">
        <f t="shared" si="2"/>
        <v>200.8</v>
      </c>
      <c r="F58" s="163">
        <f t="shared" si="3"/>
        <v>214.9</v>
      </c>
      <c r="G58" s="162">
        <f t="shared" si="4"/>
        <v>1206.2</v>
      </c>
    </row>
    <row r="59" ht="14.25" hidden="1" customHeight="1">
      <c r="A59" s="159">
        <v>55.0</v>
      </c>
      <c r="B59" s="160">
        <v>47390.0</v>
      </c>
      <c r="C59" s="161"/>
      <c r="D59" s="162">
        <f t="shared" si="1"/>
        <v>12.1</v>
      </c>
      <c r="E59" s="162">
        <f t="shared" si="2"/>
        <v>200.8</v>
      </c>
      <c r="F59" s="163">
        <f t="shared" si="3"/>
        <v>212.9</v>
      </c>
      <c r="G59" s="162">
        <f t="shared" si="4"/>
        <v>1005.4</v>
      </c>
    </row>
    <row r="60" ht="14.25" hidden="1" customHeight="1">
      <c r="A60" s="159">
        <v>56.0</v>
      </c>
      <c r="B60" s="160">
        <v>47420.0</v>
      </c>
      <c r="C60" s="161"/>
      <c r="D60" s="162">
        <f t="shared" si="1"/>
        <v>10.1</v>
      </c>
      <c r="E60" s="162">
        <f t="shared" si="2"/>
        <v>200.8</v>
      </c>
      <c r="F60" s="163">
        <f t="shared" si="3"/>
        <v>210.9</v>
      </c>
      <c r="G60" s="162">
        <f t="shared" si="4"/>
        <v>804.6</v>
      </c>
    </row>
    <row r="61" ht="14.25" hidden="1" customHeight="1">
      <c r="A61" s="159">
        <v>57.0</v>
      </c>
      <c r="B61" s="160">
        <v>47451.0</v>
      </c>
      <c r="C61" s="161"/>
      <c r="D61" s="162">
        <f t="shared" si="1"/>
        <v>8</v>
      </c>
      <c r="E61" s="162">
        <f t="shared" si="2"/>
        <v>200.8</v>
      </c>
      <c r="F61" s="163">
        <f t="shared" si="3"/>
        <v>208.8</v>
      </c>
      <c r="G61" s="162">
        <f t="shared" si="4"/>
        <v>603.8</v>
      </c>
    </row>
    <row r="62" ht="14.25" hidden="1" customHeight="1">
      <c r="A62" s="159">
        <v>58.0</v>
      </c>
      <c r="B62" s="160">
        <v>47481.0</v>
      </c>
      <c r="C62" s="161"/>
      <c r="D62" s="162">
        <f t="shared" si="1"/>
        <v>6</v>
      </c>
      <c r="E62" s="162">
        <f t="shared" si="2"/>
        <v>200.8</v>
      </c>
      <c r="F62" s="163">
        <f t="shared" si="3"/>
        <v>206.8</v>
      </c>
      <c r="G62" s="162">
        <f t="shared" si="4"/>
        <v>403</v>
      </c>
    </row>
    <row r="63" ht="14.25" hidden="1" customHeight="1">
      <c r="A63" s="159">
        <v>59.0</v>
      </c>
      <c r="B63" s="160">
        <v>47512.0</v>
      </c>
      <c r="C63" s="161"/>
      <c r="D63" s="162">
        <f t="shared" si="1"/>
        <v>4</v>
      </c>
      <c r="E63" s="162">
        <f t="shared" si="2"/>
        <v>200.8</v>
      </c>
      <c r="F63" s="163">
        <f t="shared" si="3"/>
        <v>204.8</v>
      </c>
      <c r="G63" s="162">
        <f t="shared" si="4"/>
        <v>202.2</v>
      </c>
    </row>
    <row r="64" ht="14.25" hidden="1" customHeight="1">
      <c r="A64" s="159">
        <v>60.0</v>
      </c>
      <c r="B64" s="160">
        <v>47542.0</v>
      </c>
      <c r="C64" s="161"/>
      <c r="D64" s="162">
        <f t="shared" si="1"/>
        <v>2</v>
      </c>
      <c r="E64" s="162">
        <f>ROUNDDOWN($C$4/60,1)+1.4</f>
        <v>202.2</v>
      </c>
      <c r="F64" s="163">
        <f t="shared" si="3"/>
        <v>204.2</v>
      </c>
      <c r="G64" s="162">
        <f t="shared" si="4"/>
        <v>0</v>
      </c>
    </row>
    <row r="65" ht="14.25" customHeight="1">
      <c r="A65" s="129" t="s">
        <v>252</v>
      </c>
      <c r="B65" s="2"/>
      <c r="C65" s="3"/>
      <c r="D65" s="147">
        <f t="shared" ref="D65:F65" si="5">+SUM(D5:D64)</f>
        <v>3675.6</v>
      </c>
      <c r="E65" s="147">
        <f t="shared" si="5"/>
        <v>12049.4</v>
      </c>
      <c r="F65" s="147">
        <f t="shared" si="5"/>
        <v>15725</v>
      </c>
      <c r="G65" s="148"/>
    </row>
    <row r="66" ht="14.25" customHeight="1"/>
    <row r="67" ht="14.25" customHeight="1"/>
    <row r="68" ht="14.25" customHeight="1">
      <c r="A68" s="169" t="s">
        <v>369</v>
      </c>
      <c r="B68" s="2"/>
      <c r="C68" s="2"/>
      <c r="D68" s="2"/>
      <c r="E68" s="2"/>
      <c r="F68" s="2"/>
      <c r="G68" s="3"/>
      <c r="H68" s="170"/>
      <c r="I68" s="170"/>
      <c r="J68" s="170"/>
    </row>
    <row r="69" ht="14.25" customHeight="1">
      <c r="A69" s="171" t="s">
        <v>349</v>
      </c>
      <c r="B69" s="2"/>
      <c r="C69" s="2"/>
      <c r="D69" s="2"/>
      <c r="E69" s="2"/>
      <c r="F69" s="2"/>
      <c r="G69" s="3"/>
      <c r="H69" s="170"/>
      <c r="I69" s="170"/>
      <c r="J69" s="170"/>
    </row>
    <row r="70" ht="14.25" customHeight="1">
      <c r="A70" s="172" t="s">
        <v>326</v>
      </c>
      <c r="B70" s="172" t="s">
        <v>256</v>
      </c>
      <c r="C70" s="172" t="s">
        <v>327</v>
      </c>
      <c r="D70" s="172" t="s">
        <v>328</v>
      </c>
      <c r="E70" s="172" t="s">
        <v>329</v>
      </c>
      <c r="F70" s="172" t="s">
        <v>330</v>
      </c>
      <c r="G70" s="172" t="s">
        <v>209</v>
      </c>
      <c r="H70" s="170"/>
      <c r="I70" s="170"/>
      <c r="J70" s="170"/>
    </row>
    <row r="71" ht="14.25" customHeight="1">
      <c r="A71" s="173">
        <v>0.0</v>
      </c>
      <c r="B71" s="174">
        <v>45959.0</v>
      </c>
      <c r="C71" s="175">
        <f>J74</f>
        <v>20443</v>
      </c>
      <c r="D71" s="176">
        <v>0.01</v>
      </c>
      <c r="E71" s="177"/>
      <c r="F71" s="177"/>
      <c r="G71" s="178">
        <f>C71</f>
        <v>20443</v>
      </c>
      <c r="H71" s="170"/>
      <c r="I71" s="170"/>
      <c r="J71" s="170"/>
    </row>
    <row r="72" ht="14.25" customHeight="1">
      <c r="A72" s="179">
        <v>1.0</v>
      </c>
      <c r="B72" s="180">
        <v>45990.0</v>
      </c>
      <c r="C72" s="181"/>
      <c r="D72" s="138">
        <f t="shared" ref="D72:D131" si="6">+ROUND(G71*0.01,1)</f>
        <v>204.4</v>
      </c>
      <c r="E72" s="138">
        <f t="shared" ref="E72:E130" si="7">ROUNDDOWN($C$71/60,1)</f>
        <v>340.7</v>
      </c>
      <c r="F72" s="139">
        <f t="shared" ref="F72:F131" si="8">+ROUND(D72+E72,1)</f>
        <v>545.1</v>
      </c>
      <c r="G72" s="138">
        <f t="shared" ref="G72:G131" si="9">+ROUND(G71-E72,1)</f>
        <v>20102.3</v>
      </c>
      <c r="H72" s="170"/>
      <c r="I72" s="140" t="s">
        <v>209</v>
      </c>
      <c r="J72" s="153">
        <f>G12</f>
        <v>10443</v>
      </c>
    </row>
    <row r="73" ht="14.25" customHeight="1">
      <c r="A73" s="179">
        <v>2.0</v>
      </c>
      <c r="B73" s="180">
        <v>46020.0</v>
      </c>
      <c r="C73" s="181"/>
      <c r="D73" s="138">
        <f t="shared" si="6"/>
        <v>201</v>
      </c>
      <c r="E73" s="138">
        <f t="shared" si="7"/>
        <v>340.7</v>
      </c>
      <c r="F73" s="139">
        <f t="shared" si="8"/>
        <v>541.7</v>
      </c>
      <c r="G73" s="138">
        <f t="shared" si="9"/>
        <v>19761.6</v>
      </c>
      <c r="H73" s="170"/>
      <c r="I73" s="182" t="s">
        <v>331</v>
      </c>
      <c r="J73" s="153">
        <v>10000.0</v>
      </c>
    </row>
    <row r="74" ht="14.25" customHeight="1">
      <c r="A74" s="183">
        <v>3.0</v>
      </c>
      <c r="B74" s="184">
        <v>46051.0</v>
      </c>
      <c r="C74" s="185"/>
      <c r="D74" s="186">
        <f t="shared" si="6"/>
        <v>197.6</v>
      </c>
      <c r="E74" s="186">
        <f t="shared" si="7"/>
        <v>340.7</v>
      </c>
      <c r="F74" s="187">
        <f t="shared" si="8"/>
        <v>538.3</v>
      </c>
      <c r="G74" s="186">
        <f t="shared" si="9"/>
        <v>19420.9</v>
      </c>
      <c r="H74" s="170"/>
      <c r="I74" s="142" t="s">
        <v>252</v>
      </c>
      <c r="J74" s="158">
        <f>J72+J73</f>
        <v>20443</v>
      </c>
    </row>
    <row r="75" ht="14.25" customHeight="1">
      <c r="A75" s="183">
        <v>4.0</v>
      </c>
      <c r="B75" s="184">
        <v>46081.0</v>
      </c>
      <c r="C75" s="185"/>
      <c r="D75" s="186">
        <f t="shared" si="6"/>
        <v>194.2</v>
      </c>
      <c r="E75" s="186">
        <f t="shared" si="7"/>
        <v>340.7</v>
      </c>
      <c r="F75" s="187">
        <f t="shared" si="8"/>
        <v>534.9</v>
      </c>
      <c r="G75" s="186">
        <f t="shared" si="9"/>
        <v>19080.2</v>
      </c>
      <c r="H75" s="170"/>
      <c r="I75" s="170"/>
      <c r="J75" s="170"/>
    </row>
    <row r="76" ht="14.25" customHeight="1">
      <c r="A76" s="183">
        <v>5.0</v>
      </c>
      <c r="B76" s="184">
        <v>46110.0</v>
      </c>
      <c r="C76" s="185"/>
      <c r="D76" s="186">
        <f t="shared" si="6"/>
        <v>190.8</v>
      </c>
      <c r="E76" s="186">
        <f t="shared" si="7"/>
        <v>340.7</v>
      </c>
      <c r="F76" s="187">
        <f t="shared" si="8"/>
        <v>531.5</v>
      </c>
      <c r="G76" s="186">
        <f t="shared" si="9"/>
        <v>18739.5</v>
      </c>
      <c r="H76" s="170"/>
      <c r="I76" s="170"/>
      <c r="J76" s="170"/>
    </row>
    <row r="77" ht="14.25" customHeight="1">
      <c r="A77" s="183">
        <v>6.0</v>
      </c>
      <c r="B77" s="184">
        <v>46141.0</v>
      </c>
      <c r="C77" s="185"/>
      <c r="D77" s="186">
        <f t="shared" si="6"/>
        <v>187.4</v>
      </c>
      <c r="E77" s="186">
        <f t="shared" si="7"/>
        <v>340.7</v>
      </c>
      <c r="F77" s="187">
        <f t="shared" si="8"/>
        <v>528.1</v>
      </c>
      <c r="G77" s="186">
        <f t="shared" si="9"/>
        <v>18398.8</v>
      </c>
      <c r="H77" s="170"/>
      <c r="I77" s="170"/>
      <c r="J77" s="170"/>
    </row>
    <row r="78" ht="14.25" customHeight="1">
      <c r="A78" s="183">
        <v>7.0</v>
      </c>
      <c r="B78" s="184">
        <v>46171.0</v>
      </c>
      <c r="C78" s="185"/>
      <c r="D78" s="186">
        <f t="shared" si="6"/>
        <v>184</v>
      </c>
      <c r="E78" s="186">
        <f t="shared" si="7"/>
        <v>340.7</v>
      </c>
      <c r="F78" s="187">
        <f t="shared" si="8"/>
        <v>524.7</v>
      </c>
      <c r="G78" s="186">
        <f t="shared" si="9"/>
        <v>18058.1</v>
      </c>
      <c r="H78" s="170"/>
      <c r="I78" s="170"/>
      <c r="J78" s="170"/>
    </row>
    <row r="79" ht="14.25" customHeight="1">
      <c r="A79" s="183">
        <v>8.0</v>
      </c>
      <c r="B79" s="184">
        <v>46202.0</v>
      </c>
      <c r="C79" s="185"/>
      <c r="D79" s="186">
        <f t="shared" si="6"/>
        <v>180.6</v>
      </c>
      <c r="E79" s="186">
        <f t="shared" si="7"/>
        <v>340.7</v>
      </c>
      <c r="F79" s="187">
        <f t="shared" si="8"/>
        <v>521.3</v>
      </c>
      <c r="G79" s="186">
        <f t="shared" si="9"/>
        <v>17717.4</v>
      </c>
      <c r="H79" s="170"/>
      <c r="I79" s="170"/>
      <c r="J79" s="170"/>
    </row>
    <row r="80" ht="14.25" customHeight="1">
      <c r="A80" s="183">
        <v>9.0</v>
      </c>
      <c r="B80" s="184">
        <v>46232.0</v>
      </c>
      <c r="C80" s="185"/>
      <c r="D80" s="186">
        <f t="shared" si="6"/>
        <v>177.2</v>
      </c>
      <c r="E80" s="186">
        <f t="shared" si="7"/>
        <v>340.7</v>
      </c>
      <c r="F80" s="187">
        <f t="shared" si="8"/>
        <v>517.9</v>
      </c>
      <c r="G80" s="186">
        <f t="shared" si="9"/>
        <v>17376.7</v>
      </c>
      <c r="H80" s="170"/>
      <c r="I80" s="170"/>
      <c r="J80" s="170"/>
    </row>
    <row r="81" ht="14.25" customHeight="1">
      <c r="A81" s="183">
        <v>10.0</v>
      </c>
      <c r="B81" s="184">
        <v>46263.0</v>
      </c>
      <c r="C81" s="185"/>
      <c r="D81" s="186">
        <f t="shared" si="6"/>
        <v>173.8</v>
      </c>
      <c r="E81" s="186">
        <f t="shared" si="7"/>
        <v>340.7</v>
      </c>
      <c r="F81" s="187">
        <f t="shared" si="8"/>
        <v>514.5</v>
      </c>
      <c r="G81" s="186">
        <f t="shared" si="9"/>
        <v>17036</v>
      </c>
      <c r="H81" s="170"/>
      <c r="I81" s="170"/>
      <c r="J81" s="170"/>
    </row>
    <row r="82" ht="14.25" customHeight="1">
      <c r="A82" s="183">
        <v>11.0</v>
      </c>
      <c r="B82" s="184">
        <v>46294.0</v>
      </c>
      <c r="C82" s="185"/>
      <c r="D82" s="186">
        <f t="shared" si="6"/>
        <v>170.4</v>
      </c>
      <c r="E82" s="186">
        <f t="shared" si="7"/>
        <v>340.7</v>
      </c>
      <c r="F82" s="187">
        <f t="shared" si="8"/>
        <v>511.1</v>
      </c>
      <c r="G82" s="186">
        <f t="shared" si="9"/>
        <v>16695.3</v>
      </c>
      <c r="H82" s="170"/>
      <c r="I82" s="170"/>
      <c r="J82" s="170"/>
    </row>
    <row r="83" ht="14.25" customHeight="1">
      <c r="A83" s="183">
        <v>12.0</v>
      </c>
      <c r="B83" s="188">
        <v>46324.0</v>
      </c>
      <c r="C83" s="185"/>
      <c r="D83" s="186">
        <f t="shared" si="6"/>
        <v>167</v>
      </c>
      <c r="E83" s="186">
        <f t="shared" si="7"/>
        <v>340.7</v>
      </c>
      <c r="F83" s="187">
        <f t="shared" si="8"/>
        <v>507.7</v>
      </c>
      <c r="G83" s="186">
        <f t="shared" si="9"/>
        <v>16354.6</v>
      </c>
      <c r="H83" s="170"/>
      <c r="I83" s="170"/>
      <c r="J83" s="170"/>
    </row>
    <row r="84" ht="14.25" customHeight="1">
      <c r="A84" s="183">
        <v>13.0</v>
      </c>
      <c r="B84" s="188">
        <v>46355.0</v>
      </c>
      <c r="C84" s="185"/>
      <c r="D84" s="186">
        <f t="shared" si="6"/>
        <v>163.5</v>
      </c>
      <c r="E84" s="186">
        <f t="shared" si="7"/>
        <v>340.7</v>
      </c>
      <c r="F84" s="187">
        <f t="shared" si="8"/>
        <v>504.2</v>
      </c>
      <c r="G84" s="186">
        <f t="shared" si="9"/>
        <v>16013.9</v>
      </c>
      <c r="H84" s="170"/>
      <c r="I84" s="170"/>
      <c r="J84" s="170"/>
    </row>
    <row r="85" ht="14.25" customHeight="1">
      <c r="A85" s="183">
        <v>14.0</v>
      </c>
      <c r="B85" s="188">
        <v>46385.0</v>
      </c>
      <c r="C85" s="185"/>
      <c r="D85" s="186">
        <f t="shared" si="6"/>
        <v>160.1</v>
      </c>
      <c r="E85" s="186">
        <f t="shared" si="7"/>
        <v>340.7</v>
      </c>
      <c r="F85" s="187">
        <f t="shared" si="8"/>
        <v>500.8</v>
      </c>
      <c r="G85" s="186">
        <f t="shared" si="9"/>
        <v>15673.2</v>
      </c>
      <c r="H85" s="170"/>
      <c r="I85" s="170"/>
      <c r="J85" s="170"/>
    </row>
    <row r="86" ht="14.25" customHeight="1">
      <c r="A86" s="183">
        <v>15.0</v>
      </c>
      <c r="B86" s="184">
        <v>46416.0</v>
      </c>
      <c r="C86" s="185"/>
      <c r="D86" s="186">
        <f t="shared" si="6"/>
        <v>156.7</v>
      </c>
      <c r="E86" s="186">
        <f t="shared" si="7"/>
        <v>340.7</v>
      </c>
      <c r="F86" s="187">
        <f t="shared" si="8"/>
        <v>497.4</v>
      </c>
      <c r="G86" s="186">
        <f t="shared" si="9"/>
        <v>15332.5</v>
      </c>
      <c r="H86" s="170"/>
      <c r="I86" s="170"/>
      <c r="J86" s="170"/>
    </row>
    <row r="87" ht="14.25" customHeight="1">
      <c r="A87" s="183">
        <v>16.0</v>
      </c>
      <c r="B87" s="184">
        <v>46446.0</v>
      </c>
      <c r="C87" s="185"/>
      <c r="D87" s="186">
        <f t="shared" si="6"/>
        <v>153.3</v>
      </c>
      <c r="E87" s="186">
        <f t="shared" si="7"/>
        <v>340.7</v>
      </c>
      <c r="F87" s="187">
        <f t="shared" si="8"/>
        <v>494</v>
      </c>
      <c r="G87" s="186">
        <f t="shared" si="9"/>
        <v>14991.8</v>
      </c>
      <c r="H87" s="170"/>
      <c r="I87" s="170"/>
      <c r="J87" s="170"/>
    </row>
    <row r="88" ht="14.25" customHeight="1">
      <c r="A88" s="183">
        <v>17.0</v>
      </c>
      <c r="B88" s="184">
        <v>46475.0</v>
      </c>
      <c r="C88" s="185"/>
      <c r="D88" s="186">
        <f t="shared" si="6"/>
        <v>149.9</v>
      </c>
      <c r="E88" s="186">
        <f t="shared" si="7"/>
        <v>340.7</v>
      </c>
      <c r="F88" s="187">
        <f t="shared" si="8"/>
        <v>490.6</v>
      </c>
      <c r="G88" s="186">
        <f t="shared" si="9"/>
        <v>14651.1</v>
      </c>
      <c r="H88" s="170"/>
      <c r="I88" s="170"/>
      <c r="J88" s="170"/>
    </row>
    <row r="89" ht="14.25" customHeight="1">
      <c r="A89" s="183">
        <v>18.0</v>
      </c>
      <c r="B89" s="184">
        <v>46506.0</v>
      </c>
      <c r="C89" s="185"/>
      <c r="D89" s="186">
        <f t="shared" si="6"/>
        <v>146.5</v>
      </c>
      <c r="E89" s="186">
        <f t="shared" si="7"/>
        <v>340.7</v>
      </c>
      <c r="F89" s="187">
        <f t="shared" si="8"/>
        <v>487.2</v>
      </c>
      <c r="G89" s="186">
        <f t="shared" si="9"/>
        <v>14310.4</v>
      </c>
      <c r="H89" s="170"/>
      <c r="I89" s="170"/>
      <c r="J89" s="170"/>
    </row>
    <row r="90" ht="14.25" customHeight="1">
      <c r="A90" s="183">
        <v>19.0</v>
      </c>
      <c r="B90" s="184">
        <v>46536.0</v>
      </c>
      <c r="C90" s="185"/>
      <c r="D90" s="186">
        <f t="shared" si="6"/>
        <v>143.1</v>
      </c>
      <c r="E90" s="186">
        <f t="shared" si="7"/>
        <v>340.7</v>
      </c>
      <c r="F90" s="187">
        <f t="shared" si="8"/>
        <v>483.8</v>
      </c>
      <c r="G90" s="186">
        <f t="shared" si="9"/>
        <v>13969.7</v>
      </c>
      <c r="H90" s="170"/>
      <c r="I90" s="170"/>
      <c r="J90" s="170"/>
    </row>
    <row r="91" ht="14.25" customHeight="1">
      <c r="A91" s="183">
        <v>20.0</v>
      </c>
      <c r="B91" s="184">
        <v>46567.0</v>
      </c>
      <c r="C91" s="185"/>
      <c r="D91" s="186">
        <f t="shared" si="6"/>
        <v>139.7</v>
      </c>
      <c r="E91" s="186">
        <f t="shared" si="7"/>
        <v>340.7</v>
      </c>
      <c r="F91" s="187">
        <f t="shared" si="8"/>
        <v>480.4</v>
      </c>
      <c r="G91" s="186">
        <f t="shared" si="9"/>
        <v>13629</v>
      </c>
      <c r="H91" s="170"/>
      <c r="I91" s="170"/>
      <c r="J91" s="170"/>
    </row>
    <row r="92" ht="14.25" customHeight="1">
      <c r="A92" s="183">
        <v>21.0</v>
      </c>
      <c r="B92" s="184">
        <v>46597.0</v>
      </c>
      <c r="C92" s="185"/>
      <c r="D92" s="186">
        <f t="shared" si="6"/>
        <v>136.3</v>
      </c>
      <c r="E92" s="186">
        <f t="shared" si="7"/>
        <v>340.7</v>
      </c>
      <c r="F92" s="187">
        <f t="shared" si="8"/>
        <v>477</v>
      </c>
      <c r="G92" s="186">
        <f t="shared" si="9"/>
        <v>13288.3</v>
      </c>
      <c r="H92" s="170"/>
      <c r="I92" s="170"/>
      <c r="J92" s="170"/>
    </row>
    <row r="93" ht="14.25" customHeight="1">
      <c r="A93" s="183">
        <v>22.0</v>
      </c>
      <c r="B93" s="184">
        <v>46628.0</v>
      </c>
      <c r="C93" s="185"/>
      <c r="D93" s="186">
        <f t="shared" si="6"/>
        <v>132.9</v>
      </c>
      <c r="E93" s="186">
        <f t="shared" si="7"/>
        <v>340.7</v>
      </c>
      <c r="F93" s="187">
        <f t="shared" si="8"/>
        <v>473.6</v>
      </c>
      <c r="G93" s="186">
        <f t="shared" si="9"/>
        <v>12947.6</v>
      </c>
      <c r="H93" s="170"/>
      <c r="I93" s="170"/>
      <c r="J93" s="170"/>
    </row>
    <row r="94" ht="14.25" customHeight="1">
      <c r="A94" s="183">
        <v>23.0</v>
      </c>
      <c r="B94" s="184">
        <v>46659.0</v>
      </c>
      <c r="C94" s="185"/>
      <c r="D94" s="186">
        <f t="shared" si="6"/>
        <v>129.5</v>
      </c>
      <c r="E94" s="186">
        <f t="shared" si="7"/>
        <v>340.7</v>
      </c>
      <c r="F94" s="187">
        <f t="shared" si="8"/>
        <v>470.2</v>
      </c>
      <c r="G94" s="186">
        <f t="shared" si="9"/>
        <v>12606.9</v>
      </c>
      <c r="H94" s="170"/>
      <c r="I94" s="170"/>
      <c r="J94" s="170"/>
    </row>
    <row r="95" ht="14.25" customHeight="1">
      <c r="A95" s="183">
        <v>24.0</v>
      </c>
      <c r="B95" s="188">
        <v>46689.0</v>
      </c>
      <c r="C95" s="185"/>
      <c r="D95" s="186">
        <f t="shared" si="6"/>
        <v>126.1</v>
      </c>
      <c r="E95" s="186">
        <f t="shared" si="7"/>
        <v>340.7</v>
      </c>
      <c r="F95" s="187">
        <f t="shared" si="8"/>
        <v>466.8</v>
      </c>
      <c r="G95" s="186">
        <f t="shared" si="9"/>
        <v>12266.2</v>
      </c>
      <c r="H95" s="170"/>
      <c r="I95" s="170"/>
      <c r="J95" s="170"/>
    </row>
    <row r="96" ht="14.25" customHeight="1">
      <c r="A96" s="183">
        <v>25.0</v>
      </c>
      <c r="B96" s="188">
        <v>46720.0</v>
      </c>
      <c r="C96" s="185"/>
      <c r="D96" s="186">
        <f t="shared" si="6"/>
        <v>122.7</v>
      </c>
      <c r="E96" s="186">
        <f t="shared" si="7"/>
        <v>340.7</v>
      </c>
      <c r="F96" s="187">
        <f t="shared" si="8"/>
        <v>463.4</v>
      </c>
      <c r="G96" s="186">
        <f t="shared" si="9"/>
        <v>11925.5</v>
      </c>
      <c r="H96" s="170"/>
      <c r="I96" s="170"/>
      <c r="J96" s="170"/>
    </row>
    <row r="97" ht="14.25" customHeight="1">
      <c r="A97" s="183">
        <v>26.0</v>
      </c>
      <c r="B97" s="188">
        <v>46750.0</v>
      </c>
      <c r="C97" s="185"/>
      <c r="D97" s="186">
        <f t="shared" si="6"/>
        <v>119.3</v>
      </c>
      <c r="E97" s="186">
        <f t="shared" si="7"/>
        <v>340.7</v>
      </c>
      <c r="F97" s="187">
        <f t="shared" si="8"/>
        <v>460</v>
      </c>
      <c r="G97" s="186">
        <f t="shared" si="9"/>
        <v>11584.8</v>
      </c>
      <c r="H97" s="170"/>
      <c r="I97" s="170"/>
      <c r="J97" s="170"/>
    </row>
    <row r="98" ht="14.25" customHeight="1">
      <c r="A98" s="183">
        <v>27.0</v>
      </c>
      <c r="B98" s="184">
        <v>46781.0</v>
      </c>
      <c r="C98" s="185"/>
      <c r="D98" s="186">
        <f t="shared" si="6"/>
        <v>115.8</v>
      </c>
      <c r="E98" s="186">
        <f t="shared" si="7"/>
        <v>340.7</v>
      </c>
      <c r="F98" s="187">
        <f t="shared" si="8"/>
        <v>456.5</v>
      </c>
      <c r="G98" s="186">
        <f t="shared" si="9"/>
        <v>11244.1</v>
      </c>
      <c r="H98" s="170"/>
      <c r="I98" s="170"/>
      <c r="J98" s="170"/>
    </row>
    <row r="99" ht="14.25" customHeight="1">
      <c r="A99" s="183">
        <v>28.0</v>
      </c>
      <c r="B99" s="184">
        <v>46812.0</v>
      </c>
      <c r="C99" s="185"/>
      <c r="D99" s="186">
        <f t="shared" si="6"/>
        <v>112.4</v>
      </c>
      <c r="E99" s="186">
        <f t="shared" si="7"/>
        <v>340.7</v>
      </c>
      <c r="F99" s="187">
        <f t="shared" si="8"/>
        <v>453.1</v>
      </c>
      <c r="G99" s="186">
        <f t="shared" si="9"/>
        <v>10903.4</v>
      </c>
      <c r="H99" s="170"/>
      <c r="I99" s="170"/>
      <c r="J99" s="170"/>
    </row>
    <row r="100" ht="14.25" customHeight="1">
      <c r="A100" s="183">
        <v>29.0</v>
      </c>
      <c r="B100" s="184">
        <v>46841.0</v>
      </c>
      <c r="C100" s="185"/>
      <c r="D100" s="186">
        <f t="shared" si="6"/>
        <v>109</v>
      </c>
      <c r="E100" s="186">
        <f t="shared" si="7"/>
        <v>340.7</v>
      </c>
      <c r="F100" s="187">
        <f t="shared" si="8"/>
        <v>449.7</v>
      </c>
      <c r="G100" s="186">
        <f t="shared" si="9"/>
        <v>10562.7</v>
      </c>
      <c r="H100" s="170"/>
      <c r="I100" s="170"/>
      <c r="J100" s="170"/>
    </row>
    <row r="101" ht="14.25" customHeight="1">
      <c r="A101" s="183">
        <v>30.0</v>
      </c>
      <c r="B101" s="184">
        <v>46872.0</v>
      </c>
      <c r="C101" s="185"/>
      <c r="D101" s="186">
        <f t="shared" si="6"/>
        <v>105.6</v>
      </c>
      <c r="E101" s="186">
        <f t="shared" si="7"/>
        <v>340.7</v>
      </c>
      <c r="F101" s="187">
        <f t="shared" si="8"/>
        <v>446.3</v>
      </c>
      <c r="G101" s="186">
        <f t="shared" si="9"/>
        <v>10222</v>
      </c>
      <c r="H101" s="170"/>
      <c r="I101" s="170"/>
      <c r="J101" s="170"/>
    </row>
    <row r="102" ht="14.25" customHeight="1">
      <c r="A102" s="183">
        <v>31.0</v>
      </c>
      <c r="B102" s="184">
        <v>46902.0</v>
      </c>
      <c r="C102" s="185"/>
      <c r="D102" s="186">
        <f t="shared" si="6"/>
        <v>102.2</v>
      </c>
      <c r="E102" s="186">
        <f t="shared" si="7"/>
        <v>340.7</v>
      </c>
      <c r="F102" s="187">
        <f t="shared" si="8"/>
        <v>442.9</v>
      </c>
      <c r="G102" s="186">
        <f t="shared" si="9"/>
        <v>9881.3</v>
      </c>
      <c r="H102" s="170"/>
      <c r="I102" s="170"/>
      <c r="J102" s="170"/>
    </row>
    <row r="103" ht="14.25" customHeight="1">
      <c r="A103" s="183">
        <v>32.0</v>
      </c>
      <c r="B103" s="184">
        <v>46933.0</v>
      </c>
      <c r="C103" s="185"/>
      <c r="D103" s="186">
        <f t="shared" si="6"/>
        <v>98.8</v>
      </c>
      <c r="E103" s="186">
        <f t="shared" si="7"/>
        <v>340.7</v>
      </c>
      <c r="F103" s="187">
        <f t="shared" si="8"/>
        <v>439.5</v>
      </c>
      <c r="G103" s="186">
        <f t="shared" si="9"/>
        <v>9540.6</v>
      </c>
      <c r="H103" s="170"/>
      <c r="I103" s="170"/>
      <c r="J103" s="170"/>
    </row>
    <row r="104" ht="14.25" customHeight="1">
      <c r="A104" s="183">
        <v>33.0</v>
      </c>
      <c r="B104" s="184">
        <v>46963.0</v>
      </c>
      <c r="C104" s="185"/>
      <c r="D104" s="186">
        <f t="shared" si="6"/>
        <v>95.4</v>
      </c>
      <c r="E104" s="186">
        <f t="shared" si="7"/>
        <v>340.7</v>
      </c>
      <c r="F104" s="187">
        <f t="shared" si="8"/>
        <v>436.1</v>
      </c>
      <c r="G104" s="186">
        <f t="shared" si="9"/>
        <v>9199.9</v>
      </c>
      <c r="H104" s="170"/>
      <c r="I104" s="170"/>
      <c r="J104" s="170"/>
    </row>
    <row r="105" ht="14.25" customHeight="1">
      <c r="A105" s="183">
        <v>34.0</v>
      </c>
      <c r="B105" s="184">
        <v>46994.0</v>
      </c>
      <c r="C105" s="185"/>
      <c r="D105" s="186">
        <f t="shared" si="6"/>
        <v>92</v>
      </c>
      <c r="E105" s="186">
        <f t="shared" si="7"/>
        <v>340.7</v>
      </c>
      <c r="F105" s="187">
        <f t="shared" si="8"/>
        <v>432.7</v>
      </c>
      <c r="G105" s="186">
        <f t="shared" si="9"/>
        <v>8859.2</v>
      </c>
      <c r="H105" s="170"/>
      <c r="I105" s="170"/>
      <c r="J105" s="170"/>
    </row>
    <row r="106" ht="14.25" customHeight="1">
      <c r="A106" s="183">
        <v>35.0</v>
      </c>
      <c r="B106" s="184">
        <v>47025.0</v>
      </c>
      <c r="C106" s="185"/>
      <c r="D106" s="186">
        <f t="shared" si="6"/>
        <v>88.6</v>
      </c>
      <c r="E106" s="186">
        <f t="shared" si="7"/>
        <v>340.7</v>
      </c>
      <c r="F106" s="187">
        <f t="shared" si="8"/>
        <v>429.3</v>
      </c>
      <c r="G106" s="186">
        <f t="shared" si="9"/>
        <v>8518.5</v>
      </c>
      <c r="H106" s="170"/>
      <c r="I106" s="170"/>
      <c r="J106" s="170"/>
    </row>
    <row r="107" ht="14.25" customHeight="1">
      <c r="A107" s="183">
        <v>36.0</v>
      </c>
      <c r="B107" s="188">
        <v>47055.0</v>
      </c>
      <c r="C107" s="185"/>
      <c r="D107" s="186">
        <f t="shared" si="6"/>
        <v>85.2</v>
      </c>
      <c r="E107" s="186">
        <f t="shared" si="7"/>
        <v>340.7</v>
      </c>
      <c r="F107" s="187">
        <f t="shared" si="8"/>
        <v>425.9</v>
      </c>
      <c r="G107" s="186">
        <f t="shared" si="9"/>
        <v>8177.8</v>
      </c>
      <c r="H107" s="170"/>
      <c r="I107" s="170"/>
      <c r="J107" s="170"/>
    </row>
    <row r="108" ht="14.25" customHeight="1">
      <c r="A108" s="183">
        <v>37.0</v>
      </c>
      <c r="B108" s="188">
        <v>47086.0</v>
      </c>
      <c r="C108" s="185"/>
      <c r="D108" s="186">
        <f t="shared" si="6"/>
        <v>81.8</v>
      </c>
      <c r="E108" s="186">
        <f t="shared" si="7"/>
        <v>340.7</v>
      </c>
      <c r="F108" s="187">
        <f t="shared" si="8"/>
        <v>422.5</v>
      </c>
      <c r="G108" s="186">
        <f t="shared" si="9"/>
        <v>7837.1</v>
      </c>
      <c r="H108" s="170"/>
      <c r="I108" s="170"/>
      <c r="J108" s="170"/>
    </row>
    <row r="109" ht="14.25" customHeight="1">
      <c r="A109" s="183">
        <v>38.0</v>
      </c>
      <c r="B109" s="188">
        <v>47116.0</v>
      </c>
      <c r="C109" s="185"/>
      <c r="D109" s="186">
        <f t="shared" si="6"/>
        <v>78.4</v>
      </c>
      <c r="E109" s="186">
        <f t="shared" si="7"/>
        <v>340.7</v>
      </c>
      <c r="F109" s="187">
        <f t="shared" si="8"/>
        <v>419.1</v>
      </c>
      <c r="G109" s="186">
        <f t="shared" si="9"/>
        <v>7496.4</v>
      </c>
      <c r="H109" s="170"/>
      <c r="I109" s="170"/>
      <c r="J109" s="170"/>
    </row>
    <row r="110" ht="14.25" customHeight="1">
      <c r="A110" s="183">
        <v>39.0</v>
      </c>
      <c r="B110" s="184">
        <v>47147.0</v>
      </c>
      <c r="C110" s="185"/>
      <c r="D110" s="186">
        <f t="shared" si="6"/>
        <v>75</v>
      </c>
      <c r="E110" s="186">
        <f t="shared" si="7"/>
        <v>340.7</v>
      </c>
      <c r="F110" s="187">
        <f t="shared" si="8"/>
        <v>415.7</v>
      </c>
      <c r="G110" s="186">
        <f t="shared" si="9"/>
        <v>7155.7</v>
      </c>
      <c r="H110" s="170"/>
      <c r="I110" s="170"/>
      <c r="J110" s="170"/>
    </row>
    <row r="111" ht="14.25" customHeight="1">
      <c r="A111" s="183">
        <v>40.0</v>
      </c>
      <c r="B111" s="184">
        <v>47177.0</v>
      </c>
      <c r="C111" s="185"/>
      <c r="D111" s="186">
        <f t="shared" si="6"/>
        <v>71.6</v>
      </c>
      <c r="E111" s="186">
        <f t="shared" si="7"/>
        <v>340.7</v>
      </c>
      <c r="F111" s="187">
        <f t="shared" si="8"/>
        <v>412.3</v>
      </c>
      <c r="G111" s="186">
        <f t="shared" si="9"/>
        <v>6815</v>
      </c>
      <c r="H111" s="170"/>
      <c r="I111" s="170"/>
      <c r="J111" s="170"/>
    </row>
    <row r="112" ht="14.25" customHeight="1">
      <c r="A112" s="183">
        <v>41.0</v>
      </c>
      <c r="B112" s="184">
        <v>47206.0</v>
      </c>
      <c r="C112" s="185"/>
      <c r="D112" s="186">
        <f t="shared" si="6"/>
        <v>68.2</v>
      </c>
      <c r="E112" s="186">
        <f t="shared" si="7"/>
        <v>340.7</v>
      </c>
      <c r="F112" s="187">
        <f t="shared" si="8"/>
        <v>408.9</v>
      </c>
      <c r="G112" s="186">
        <f t="shared" si="9"/>
        <v>6474.3</v>
      </c>
      <c r="H112" s="170"/>
      <c r="I112" s="170"/>
      <c r="J112" s="170"/>
    </row>
    <row r="113" ht="14.25" customHeight="1">
      <c r="A113" s="183">
        <v>42.0</v>
      </c>
      <c r="B113" s="184">
        <v>47237.0</v>
      </c>
      <c r="C113" s="185"/>
      <c r="D113" s="186">
        <f t="shared" si="6"/>
        <v>64.7</v>
      </c>
      <c r="E113" s="186">
        <f t="shared" si="7"/>
        <v>340.7</v>
      </c>
      <c r="F113" s="187">
        <f t="shared" si="8"/>
        <v>405.4</v>
      </c>
      <c r="G113" s="186">
        <f t="shared" si="9"/>
        <v>6133.6</v>
      </c>
      <c r="H113" s="170"/>
      <c r="I113" s="170"/>
      <c r="J113" s="170"/>
    </row>
    <row r="114" ht="14.25" customHeight="1">
      <c r="A114" s="183">
        <v>43.0</v>
      </c>
      <c r="B114" s="184">
        <v>47267.0</v>
      </c>
      <c r="C114" s="185"/>
      <c r="D114" s="186">
        <f t="shared" si="6"/>
        <v>61.3</v>
      </c>
      <c r="E114" s="186">
        <f t="shared" si="7"/>
        <v>340.7</v>
      </c>
      <c r="F114" s="187">
        <f t="shared" si="8"/>
        <v>402</v>
      </c>
      <c r="G114" s="186">
        <f t="shared" si="9"/>
        <v>5792.9</v>
      </c>
      <c r="H114" s="170"/>
      <c r="I114" s="170"/>
      <c r="J114" s="170"/>
    </row>
    <row r="115" ht="14.25" customHeight="1">
      <c r="A115" s="183">
        <v>44.0</v>
      </c>
      <c r="B115" s="184">
        <v>47298.0</v>
      </c>
      <c r="C115" s="185"/>
      <c r="D115" s="186">
        <f t="shared" si="6"/>
        <v>57.9</v>
      </c>
      <c r="E115" s="186">
        <f t="shared" si="7"/>
        <v>340.7</v>
      </c>
      <c r="F115" s="187">
        <f t="shared" si="8"/>
        <v>398.6</v>
      </c>
      <c r="G115" s="186">
        <f t="shared" si="9"/>
        <v>5452.2</v>
      </c>
      <c r="H115" s="170"/>
      <c r="I115" s="170"/>
      <c r="J115" s="170"/>
    </row>
    <row r="116" ht="14.25" customHeight="1">
      <c r="A116" s="183">
        <v>45.0</v>
      </c>
      <c r="B116" s="184">
        <v>47328.0</v>
      </c>
      <c r="C116" s="185"/>
      <c r="D116" s="186">
        <f t="shared" si="6"/>
        <v>54.5</v>
      </c>
      <c r="E116" s="186">
        <f t="shared" si="7"/>
        <v>340.7</v>
      </c>
      <c r="F116" s="187">
        <f t="shared" si="8"/>
        <v>395.2</v>
      </c>
      <c r="G116" s="186">
        <f t="shared" si="9"/>
        <v>5111.5</v>
      </c>
      <c r="H116" s="170"/>
      <c r="I116" s="170"/>
      <c r="J116" s="170"/>
    </row>
    <row r="117" ht="14.25" customHeight="1">
      <c r="A117" s="183">
        <v>46.0</v>
      </c>
      <c r="B117" s="184">
        <v>47359.0</v>
      </c>
      <c r="C117" s="185"/>
      <c r="D117" s="186">
        <f t="shared" si="6"/>
        <v>51.1</v>
      </c>
      <c r="E117" s="186">
        <f t="shared" si="7"/>
        <v>340.7</v>
      </c>
      <c r="F117" s="187">
        <f t="shared" si="8"/>
        <v>391.8</v>
      </c>
      <c r="G117" s="186">
        <f t="shared" si="9"/>
        <v>4770.8</v>
      </c>
      <c r="H117" s="170"/>
      <c r="I117" s="170"/>
      <c r="J117" s="170"/>
    </row>
    <row r="118" ht="14.25" customHeight="1">
      <c r="A118" s="183">
        <v>47.0</v>
      </c>
      <c r="B118" s="184">
        <v>47390.0</v>
      </c>
      <c r="C118" s="185"/>
      <c r="D118" s="186">
        <f t="shared" si="6"/>
        <v>47.7</v>
      </c>
      <c r="E118" s="186">
        <f t="shared" si="7"/>
        <v>340.7</v>
      </c>
      <c r="F118" s="187">
        <f t="shared" si="8"/>
        <v>388.4</v>
      </c>
      <c r="G118" s="186">
        <f t="shared" si="9"/>
        <v>4430.1</v>
      </c>
      <c r="H118" s="170"/>
      <c r="I118" s="170"/>
      <c r="J118" s="170"/>
    </row>
    <row r="119" ht="14.25" customHeight="1">
      <c r="A119" s="183">
        <v>48.0</v>
      </c>
      <c r="B119" s="188">
        <v>47420.0</v>
      </c>
      <c r="C119" s="185"/>
      <c r="D119" s="186">
        <f t="shared" si="6"/>
        <v>44.3</v>
      </c>
      <c r="E119" s="186">
        <f t="shared" si="7"/>
        <v>340.7</v>
      </c>
      <c r="F119" s="187">
        <f t="shared" si="8"/>
        <v>385</v>
      </c>
      <c r="G119" s="186">
        <f t="shared" si="9"/>
        <v>4089.4</v>
      </c>
      <c r="H119" s="170"/>
      <c r="I119" s="170"/>
      <c r="J119" s="170"/>
    </row>
    <row r="120" ht="14.25" customHeight="1">
      <c r="A120" s="183">
        <v>49.0</v>
      </c>
      <c r="B120" s="188">
        <v>47451.0</v>
      </c>
      <c r="C120" s="185"/>
      <c r="D120" s="186">
        <f t="shared" si="6"/>
        <v>40.9</v>
      </c>
      <c r="E120" s="186">
        <f t="shared" si="7"/>
        <v>340.7</v>
      </c>
      <c r="F120" s="187">
        <f t="shared" si="8"/>
        <v>381.6</v>
      </c>
      <c r="G120" s="186">
        <f t="shared" si="9"/>
        <v>3748.7</v>
      </c>
      <c r="H120" s="170"/>
      <c r="I120" s="170"/>
      <c r="J120" s="170"/>
    </row>
    <row r="121" ht="14.25" customHeight="1">
      <c r="A121" s="183">
        <v>50.0</v>
      </c>
      <c r="B121" s="188">
        <v>47481.0</v>
      </c>
      <c r="C121" s="185"/>
      <c r="D121" s="186">
        <f t="shared" si="6"/>
        <v>37.5</v>
      </c>
      <c r="E121" s="186">
        <f t="shared" si="7"/>
        <v>340.7</v>
      </c>
      <c r="F121" s="187">
        <f t="shared" si="8"/>
        <v>378.2</v>
      </c>
      <c r="G121" s="186">
        <f t="shared" si="9"/>
        <v>3408</v>
      </c>
      <c r="H121" s="170"/>
      <c r="I121" s="170"/>
      <c r="J121" s="170"/>
    </row>
    <row r="122" ht="14.25" customHeight="1">
      <c r="A122" s="183">
        <v>51.0</v>
      </c>
      <c r="B122" s="184">
        <v>47512.0</v>
      </c>
      <c r="C122" s="185"/>
      <c r="D122" s="186">
        <f t="shared" si="6"/>
        <v>34.1</v>
      </c>
      <c r="E122" s="186">
        <f t="shared" si="7"/>
        <v>340.7</v>
      </c>
      <c r="F122" s="187">
        <f t="shared" si="8"/>
        <v>374.8</v>
      </c>
      <c r="G122" s="186">
        <f t="shared" si="9"/>
        <v>3067.3</v>
      </c>
      <c r="H122" s="170"/>
      <c r="I122" s="170"/>
      <c r="J122" s="170"/>
    </row>
    <row r="123" ht="14.25" customHeight="1">
      <c r="A123" s="183">
        <v>52.0</v>
      </c>
      <c r="B123" s="184">
        <v>47542.0</v>
      </c>
      <c r="C123" s="185"/>
      <c r="D123" s="186">
        <f t="shared" si="6"/>
        <v>30.7</v>
      </c>
      <c r="E123" s="186">
        <f t="shared" si="7"/>
        <v>340.7</v>
      </c>
      <c r="F123" s="187">
        <f t="shared" si="8"/>
        <v>371.4</v>
      </c>
      <c r="G123" s="186">
        <f t="shared" si="9"/>
        <v>2726.6</v>
      </c>
      <c r="H123" s="170"/>
      <c r="I123" s="170"/>
      <c r="J123" s="170"/>
    </row>
    <row r="124" ht="14.25" customHeight="1">
      <c r="A124" s="183">
        <v>53.0</v>
      </c>
      <c r="B124" s="184">
        <v>47571.0</v>
      </c>
      <c r="C124" s="185"/>
      <c r="D124" s="186">
        <f t="shared" si="6"/>
        <v>27.3</v>
      </c>
      <c r="E124" s="186">
        <f t="shared" si="7"/>
        <v>340.7</v>
      </c>
      <c r="F124" s="187">
        <f t="shared" si="8"/>
        <v>368</v>
      </c>
      <c r="G124" s="186">
        <f t="shared" si="9"/>
        <v>2385.9</v>
      </c>
      <c r="H124" s="170"/>
      <c r="I124" s="170"/>
      <c r="J124" s="170"/>
    </row>
    <row r="125" ht="14.25" customHeight="1">
      <c r="A125" s="183">
        <v>54.0</v>
      </c>
      <c r="B125" s="184">
        <v>47602.0</v>
      </c>
      <c r="C125" s="185"/>
      <c r="D125" s="186">
        <f t="shared" si="6"/>
        <v>23.9</v>
      </c>
      <c r="E125" s="186">
        <f t="shared" si="7"/>
        <v>340.7</v>
      </c>
      <c r="F125" s="187">
        <f t="shared" si="8"/>
        <v>364.6</v>
      </c>
      <c r="G125" s="186">
        <f t="shared" si="9"/>
        <v>2045.2</v>
      </c>
      <c r="H125" s="170"/>
      <c r="I125" s="170"/>
      <c r="J125" s="170"/>
    </row>
    <row r="126" ht="14.25" customHeight="1">
      <c r="A126" s="183">
        <v>55.0</v>
      </c>
      <c r="B126" s="184">
        <v>47632.0</v>
      </c>
      <c r="C126" s="185"/>
      <c r="D126" s="186">
        <f t="shared" si="6"/>
        <v>20.5</v>
      </c>
      <c r="E126" s="186">
        <f t="shared" si="7"/>
        <v>340.7</v>
      </c>
      <c r="F126" s="187">
        <f t="shared" si="8"/>
        <v>361.2</v>
      </c>
      <c r="G126" s="186">
        <f t="shared" si="9"/>
        <v>1704.5</v>
      </c>
      <c r="H126" s="170"/>
      <c r="I126" s="170"/>
      <c r="J126" s="170"/>
    </row>
    <row r="127" ht="14.25" customHeight="1">
      <c r="A127" s="183">
        <v>56.0</v>
      </c>
      <c r="B127" s="184">
        <v>47663.0</v>
      </c>
      <c r="C127" s="185"/>
      <c r="D127" s="186">
        <f t="shared" si="6"/>
        <v>17</v>
      </c>
      <c r="E127" s="186">
        <f t="shared" si="7"/>
        <v>340.7</v>
      </c>
      <c r="F127" s="187">
        <f t="shared" si="8"/>
        <v>357.7</v>
      </c>
      <c r="G127" s="186">
        <f t="shared" si="9"/>
        <v>1363.8</v>
      </c>
      <c r="H127" s="170"/>
      <c r="I127" s="170"/>
      <c r="J127" s="170"/>
    </row>
    <row r="128" ht="14.25" customHeight="1">
      <c r="A128" s="183">
        <v>57.0</v>
      </c>
      <c r="B128" s="184">
        <v>47693.0</v>
      </c>
      <c r="C128" s="185"/>
      <c r="D128" s="186">
        <f t="shared" si="6"/>
        <v>13.6</v>
      </c>
      <c r="E128" s="186">
        <f t="shared" si="7"/>
        <v>340.7</v>
      </c>
      <c r="F128" s="187">
        <f t="shared" si="8"/>
        <v>354.3</v>
      </c>
      <c r="G128" s="186">
        <f t="shared" si="9"/>
        <v>1023.1</v>
      </c>
      <c r="H128" s="170"/>
      <c r="I128" s="170"/>
      <c r="J128" s="170"/>
    </row>
    <row r="129" ht="14.25" customHeight="1">
      <c r="A129" s="183">
        <v>58.0</v>
      </c>
      <c r="B129" s="184">
        <v>47724.0</v>
      </c>
      <c r="C129" s="185"/>
      <c r="D129" s="186">
        <f t="shared" si="6"/>
        <v>10.2</v>
      </c>
      <c r="E129" s="186">
        <f t="shared" si="7"/>
        <v>340.7</v>
      </c>
      <c r="F129" s="187">
        <f t="shared" si="8"/>
        <v>350.9</v>
      </c>
      <c r="G129" s="186">
        <f t="shared" si="9"/>
        <v>682.4</v>
      </c>
      <c r="H129" s="170"/>
      <c r="I129" s="170"/>
      <c r="J129" s="170"/>
    </row>
    <row r="130" ht="14.25" customHeight="1">
      <c r="A130" s="183">
        <v>59.0</v>
      </c>
      <c r="B130" s="184">
        <v>47755.0</v>
      </c>
      <c r="C130" s="185"/>
      <c r="D130" s="186">
        <f t="shared" si="6"/>
        <v>6.8</v>
      </c>
      <c r="E130" s="186">
        <f t="shared" si="7"/>
        <v>340.7</v>
      </c>
      <c r="F130" s="187">
        <f t="shared" si="8"/>
        <v>347.5</v>
      </c>
      <c r="G130" s="186">
        <f t="shared" si="9"/>
        <v>341.7</v>
      </c>
      <c r="H130" s="170"/>
      <c r="I130" s="170"/>
      <c r="J130" s="170"/>
    </row>
    <row r="131" ht="14.25" customHeight="1">
      <c r="A131" s="183">
        <v>60.0</v>
      </c>
      <c r="B131" s="188">
        <v>47785.0</v>
      </c>
      <c r="C131" s="185"/>
      <c r="D131" s="186">
        <f t="shared" si="6"/>
        <v>3.4</v>
      </c>
      <c r="E131" s="186">
        <f>ROUNDDOWN($C$71/60,1)+1</f>
        <v>341.7</v>
      </c>
      <c r="F131" s="187">
        <f t="shared" si="8"/>
        <v>345.1</v>
      </c>
      <c r="G131" s="186">
        <f t="shared" si="9"/>
        <v>0</v>
      </c>
      <c r="H131" s="170"/>
      <c r="I131" s="170"/>
      <c r="J131" s="170"/>
    </row>
    <row r="132" ht="14.25" customHeight="1">
      <c r="A132" s="171" t="s">
        <v>252</v>
      </c>
      <c r="B132" s="2"/>
      <c r="C132" s="3"/>
      <c r="D132" s="147">
        <f t="shared" ref="D132:F132" si="10">+SUM(D72:D131)</f>
        <v>6235.4</v>
      </c>
      <c r="E132" s="147">
        <f t="shared" si="10"/>
        <v>20443</v>
      </c>
      <c r="F132" s="147">
        <f t="shared" si="10"/>
        <v>26678.4</v>
      </c>
      <c r="G132" s="189"/>
      <c r="H132" s="170"/>
      <c r="I132" s="170"/>
      <c r="J132" s="170"/>
    </row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G1"/>
    <mergeCell ref="A2:G2"/>
    <mergeCell ref="A65:C65"/>
    <mergeCell ref="A68:G68"/>
    <mergeCell ref="A69:G69"/>
    <mergeCell ref="A132:C132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370</v>
      </c>
      <c r="B1" s="2"/>
      <c r="C1" s="2"/>
      <c r="D1" s="2"/>
      <c r="E1" s="2"/>
      <c r="F1" s="2"/>
      <c r="G1" s="3"/>
    </row>
    <row r="2" ht="14.25" customHeight="1">
      <c r="A2" s="129" t="s">
        <v>371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45564.0</v>
      </c>
      <c r="C4" s="133">
        <f>+J7</f>
        <v>18680.5</v>
      </c>
      <c r="D4" s="134">
        <v>0.01</v>
      </c>
      <c r="E4" s="135"/>
      <c r="F4" s="135"/>
      <c r="G4" s="135">
        <f>+C4</f>
        <v>18680.5</v>
      </c>
    </row>
    <row r="5" ht="14.25" customHeight="1">
      <c r="A5" s="136">
        <v>1.0</v>
      </c>
      <c r="B5" s="137">
        <v>45594.0</v>
      </c>
      <c r="C5" s="138"/>
      <c r="D5" s="138">
        <f t="shared" ref="D5:D64" si="1">+ROUND(G4*0.01,1)</f>
        <v>186.8</v>
      </c>
      <c r="E5" s="138">
        <f t="shared" ref="E5:E63" si="2">ROUNDDOWN($C$4/60,1)</f>
        <v>311.3</v>
      </c>
      <c r="F5" s="139">
        <f t="shared" ref="F5:F64" si="3">+ROUND(D5+E5,1)</f>
        <v>498.1</v>
      </c>
      <c r="G5" s="138">
        <f t="shared" ref="G5:G64" si="4">+ROUND(G4-E5,1)</f>
        <v>18369.2</v>
      </c>
      <c r="I5" s="140" t="s">
        <v>209</v>
      </c>
      <c r="J5" s="141">
        <v>9609.999999999993</v>
      </c>
    </row>
    <row r="6" ht="14.25" customHeight="1">
      <c r="A6" s="136">
        <v>2.0</v>
      </c>
      <c r="B6" s="137">
        <v>45625.0</v>
      </c>
      <c r="C6" s="144"/>
      <c r="D6" s="138">
        <f t="shared" si="1"/>
        <v>183.7</v>
      </c>
      <c r="E6" s="138">
        <f t="shared" si="2"/>
        <v>311.3</v>
      </c>
      <c r="F6" s="139">
        <f t="shared" si="3"/>
        <v>495</v>
      </c>
      <c r="G6" s="138">
        <f t="shared" si="4"/>
        <v>18057.9</v>
      </c>
      <c r="I6" s="140" t="s">
        <v>257</v>
      </c>
      <c r="J6" s="141">
        <v>9070.5</v>
      </c>
    </row>
    <row r="7" ht="14.25" customHeight="1">
      <c r="A7" s="136">
        <v>3.0</v>
      </c>
      <c r="B7" s="137">
        <v>45655.0</v>
      </c>
      <c r="C7" s="144"/>
      <c r="D7" s="138">
        <f t="shared" si="1"/>
        <v>180.6</v>
      </c>
      <c r="E7" s="138">
        <f t="shared" si="2"/>
        <v>311.3</v>
      </c>
      <c r="F7" s="139">
        <f t="shared" si="3"/>
        <v>491.9</v>
      </c>
      <c r="G7" s="138">
        <f t="shared" si="4"/>
        <v>17746.6</v>
      </c>
      <c r="I7" s="142" t="s">
        <v>252</v>
      </c>
      <c r="J7" s="143">
        <f>+SUM(J5:J6)</f>
        <v>18680.5</v>
      </c>
    </row>
    <row r="8" ht="14.25" customHeight="1">
      <c r="A8" s="136">
        <v>4.0</v>
      </c>
      <c r="B8" s="137">
        <v>45686.0</v>
      </c>
      <c r="C8" s="144"/>
      <c r="D8" s="138">
        <f t="shared" si="1"/>
        <v>177.5</v>
      </c>
      <c r="E8" s="138">
        <f t="shared" si="2"/>
        <v>311.3</v>
      </c>
      <c r="F8" s="139">
        <f t="shared" si="3"/>
        <v>488.8</v>
      </c>
      <c r="G8" s="138">
        <f t="shared" si="4"/>
        <v>17435.3</v>
      </c>
    </row>
    <row r="9" ht="14.25" customHeight="1">
      <c r="A9" s="136">
        <v>5.0</v>
      </c>
      <c r="B9" s="137">
        <v>45716.0</v>
      </c>
      <c r="C9" s="144"/>
      <c r="D9" s="138">
        <f t="shared" si="1"/>
        <v>174.4</v>
      </c>
      <c r="E9" s="138">
        <f t="shared" si="2"/>
        <v>311.3</v>
      </c>
      <c r="F9" s="139">
        <f t="shared" si="3"/>
        <v>485.7</v>
      </c>
      <c r="G9" s="138">
        <f t="shared" si="4"/>
        <v>17124</v>
      </c>
    </row>
    <row r="10" ht="14.25" customHeight="1">
      <c r="A10" s="136">
        <v>6.0</v>
      </c>
      <c r="B10" s="137">
        <v>45745.0</v>
      </c>
      <c r="C10" s="144"/>
      <c r="D10" s="138">
        <f t="shared" si="1"/>
        <v>171.2</v>
      </c>
      <c r="E10" s="138">
        <f t="shared" si="2"/>
        <v>311.3</v>
      </c>
      <c r="F10" s="139">
        <f t="shared" si="3"/>
        <v>482.5</v>
      </c>
      <c r="G10" s="138">
        <f t="shared" si="4"/>
        <v>16812.7</v>
      </c>
    </row>
    <row r="11" ht="14.25" customHeight="1">
      <c r="A11" s="136">
        <v>7.0</v>
      </c>
      <c r="B11" s="137">
        <v>45776.0</v>
      </c>
      <c r="C11" s="144"/>
      <c r="D11" s="138">
        <f t="shared" si="1"/>
        <v>168.1</v>
      </c>
      <c r="E11" s="138">
        <f t="shared" si="2"/>
        <v>311.3</v>
      </c>
      <c r="F11" s="139">
        <f t="shared" si="3"/>
        <v>479.4</v>
      </c>
      <c r="G11" s="138">
        <f t="shared" si="4"/>
        <v>16501.4</v>
      </c>
    </row>
    <row r="12" ht="14.25" customHeight="1">
      <c r="A12" s="136">
        <v>8.0</v>
      </c>
      <c r="B12" s="137">
        <v>45806.0</v>
      </c>
      <c r="C12" s="144"/>
      <c r="D12" s="138">
        <f t="shared" si="1"/>
        <v>165</v>
      </c>
      <c r="E12" s="138">
        <f t="shared" si="2"/>
        <v>311.3</v>
      </c>
      <c r="F12" s="139">
        <f t="shared" si="3"/>
        <v>476.3</v>
      </c>
      <c r="G12" s="138">
        <f t="shared" si="4"/>
        <v>16190.1</v>
      </c>
    </row>
    <row r="13" ht="14.25" customHeight="1">
      <c r="A13" s="136">
        <v>9.0</v>
      </c>
      <c r="B13" s="137">
        <v>45837.0</v>
      </c>
      <c r="C13" s="144"/>
      <c r="D13" s="138">
        <f t="shared" si="1"/>
        <v>161.9</v>
      </c>
      <c r="E13" s="138">
        <f t="shared" si="2"/>
        <v>311.3</v>
      </c>
      <c r="F13" s="139">
        <f t="shared" si="3"/>
        <v>473.2</v>
      </c>
      <c r="G13" s="138">
        <f t="shared" si="4"/>
        <v>15878.8</v>
      </c>
    </row>
    <row r="14" ht="14.25" customHeight="1">
      <c r="A14" s="136">
        <v>10.0</v>
      </c>
      <c r="B14" s="137">
        <v>45867.0</v>
      </c>
      <c r="C14" s="144"/>
      <c r="D14" s="138">
        <f t="shared" si="1"/>
        <v>158.8</v>
      </c>
      <c r="E14" s="138">
        <f t="shared" si="2"/>
        <v>311.3</v>
      </c>
      <c r="F14" s="139">
        <f t="shared" si="3"/>
        <v>470.1</v>
      </c>
      <c r="G14" s="138">
        <f t="shared" si="4"/>
        <v>15567.5</v>
      </c>
    </row>
    <row r="15" ht="14.25" customHeight="1">
      <c r="A15" s="136">
        <v>11.0</v>
      </c>
      <c r="B15" s="137">
        <v>45898.0</v>
      </c>
      <c r="C15" s="144"/>
      <c r="D15" s="138">
        <f t="shared" si="1"/>
        <v>155.7</v>
      </c>
      <c r="E15" s="138">
        <f t="shared" si="2"/>
        <v>311.3</v>
      </c>
      <c r="F15" s="139">
        <f t="shared" si="3"/>
        <v>467</v>
      </c>
      <c r="G15" s="138">
        <f t="shared" si="4"/>
        <v>15256.2</v>
      </c>
    </row>
    <row r="16" ht="14.25" customHeight="1">
      <c r="A16" s="136">
        <v>12.0</v>
      </c>
      <c r="B16" s="137">
        <v>45929.0</v>
      </c>
      <c r="C16" s="144"/>
      <c r="D16" s="138">
        <f t="shared" si="1"/>
        <v>152.6</v>
      </c>
      <c r="E16" s="138">
        <f t="shared" si="2"/>
        <v>311.3</v>
      </c>
      <c r="F16" s="139">
        <f t="shared" si="3"/>
        <v>463.9</v>
      </c>
      <c r="G16" s="138">
        <f t="shared" si="4"/>
        <v>14944.9</v>
      </c>
    </row>
    <row r="17" ht="14.25" customHeight="1">
      <c r="A17" s="136">
        <v>13.0</v>
      </c>
      <c r="B17" s="137">
        <v>45959.0</v>
      </c>
      <c r="C17" s="145"/>
      <c r="D17" s="138">
        <f t="shared" si="1"/>
        <v>149.4</v>
      </c>
      <c r="E17" s="138">
        <f t="shared" si="2"/>
        <v>311.3</v>
      </c>
      <c r="F17" s="139">
        <f t="shared" si="3"/>
        <v>460.7</v>
      </c>
      <c r="G17" s="138">
        <f t="shared" si="4"/>
        <v>14633.6</v>
      </c>
    </row>
    <row r="18" ht="14.25" customHeight="1">
      <c r="A18" s="136">
        <v>14.0</v>
      </c>
      <c r="B18" s="137">
        <v>45990.0</v>
      </c>
      <c r="C18" s="145"/>
      <c r="D18" s="138">
        <f t="shared" si="1"/>
        <v>146.3</v>
      </c>
      <c r="E18" s="138">
        <f t="shared" si="2"/>
        <v>311.3</v>
      </c>
      <c r="F18" s="139">
        <f t="shared" si="3"/>
        <v>457.6</v>
      </c>
      <c r="G18" s="138">
        <f t="shared" si="4"/>
        <v>14322.3</v>
      </c>
    </row>
    <row r="19" ht="14.25" customHeight="1">
      <c r="A19" s="136">
        <v>15.0</v>
      </c>
      <c r="B19" s="137">
        <v>46020.0</v>
      </c>
      <c r="C19" s="145"/>
      <c r="D19" s="138">
        <f t="shared" si="1"/>
        <v>143.2</v>
      </c>
      <c r="E19" s="138">
        <f t="shared" si="2"/>
        <v>311.3</v>
      </c>
      <c r="F19" s="139">
        <f t="shared" si="3"/>
        <v>454.5</v>
      </c>
      <c r="G19" s="138">
        <f t="shared" si="4"/>
        <v>14011</v>
      </c>
      <c r="I19" s="165" t="s">
        <v>328</v>
      </c>
      <c r="J19" s="167">
        <f>SUM(D5:D20)</f>
        <v>2615.3</v>
      </c>
    </row>
    <row r="20" ht="14.25" customHeight="1">
      <c r="A20" s="154">
        <v>16.0</v>
      </c>
      <c r="B20" s="155">
        <v>46051.0</v>
      </c>
      <c r="C20" s="156"/>
      <c r="D20" s="157">
        <f t="shared" si="1"/>
        <v>140.1</v>
      </c>
      <c r="E20" s="157">
        <f t="shared" si="2"/>
        <v>311.3</v>
      </c>
      <c r="F20" s="157">
        <f t="shared" si="3"/>
        <v>451.4</v>
      </c>
      <c r="G20" s="157">
        <f t="shared" si="4"/>
        <v>13699.7</v>
      </c>
      <c r="I20" s="165" t="s">
        <v>209</v>
      </c>
      <c r="J20" s="167">
        <f>G20</f>
        <v>13699.7</v>
      </c>
    </row>
    <row r="21" ht="14.25" hidden="1" customHeight="1">
      <c r="A21" s="131">
        <v>17.0</v>
      </c>
      <c r="B21" s="132">
        <v>46081.0</v>
      </c>
      <c r="C21" s="146"/>
      <c r="D21" s="135">
        <f t="shared" si="1"/>
        <v>137</v>
      </c>
      <c r="E21" s="135">
        <f t="shared" si="2"/>
        <v>311.3</v>
      </c>
      <c r="F21" s="133">
        <f t="shared" si="3"/>
        <v>448.3</v>
      </c>
      <c r="G21" s="135">
        <f t="shared" si="4"/>
        <v>13388.4</v>
      </c>
    </row>
    <row r="22" ht="14.25" hidden="1" customHeight="1">
      <c r="A22" s="131">
        <v>18.0</v>
      </c>
      <c r="B22" s="132">
        <v>46110.0</v>
      </c>
      <c r="C22" s="146"/>
      <c r="D22" s="135">
        <f t="shared" si="1"/>
        <v>133.9</v>
      </c>
      <c r="E22" s="135">
        <f t="shared" si="2"/>
        <v>311.3</v>
      </c>
      <c r="F22" s="133">
        <f t="shared" si="3"/>
        <v>445.2</v>
      </c>
      <c r="G22" s="135">
        <f t="shared" si="4"/>
        <v>13077.1</v>
      </c>
    </row>
    <row r="23" ht="14.25" hidden="1" customHeight="1">
      <c r="A23" s="131">
        <v>19.0</v>
      </c>
      <c r="B23" s="132">
        <v>46141.0</v>
      </c>
      <c r="C23" s="146"/>
      <c r="D23" s="135">
        <f t="shared" si="1"/>
        <v>130.8</v>
      </c>
      <c r="E23" s="135">
        <f t="shared" si="2"/>
        <v>311.3</v>
      </c>
      <c r="F23" s="133">
        <f t="shared" si="3"/>
        <v>442.1</v>
      </c>
      <c r="G23" s="135">
        <f t="shared" si="4"/>
        <v>12765.8</v>
      </c>
    </row>
    <row r="24" ht="14.25" hidden="1" customHeight="1">
      <c r="A24" s="131">
        <v>20.0</v>
      </c>
      <c r="B24" s="132">
        <v>46171.0</v>
      </c>
      <c r="C24" s="146"/>
      <c r="D24" s="135">
        <f t="shared" si="1"/>
        <v>127.7</v>
      </c>
      <c r="E24" s="135">
        <f t="shared" si="2"/>
        <v>311.3</v>
      </c>
      <c r="F24" s="133">
        <f t="shared" si="3"/>
        <v>439</v>
      </c>
      <c r="G24" s="135">
        <f t="shared" si="4"/>
        <v>12454.5</v>
      </c>
    </row>
    <row r="25" ht="14.25" hidden="1" customHeight="1">
      <c r="A25" s="131">
        <v>21.0</v>
      </c>
      <c r="B25" s="132">
        <v>46202.0</v>
      </c>
      <c r="C25" s="146"/>
      <c r="D25" s="135">
        <f t="shared" si="1"/>
        <v>124.5</v>
      </c>
      <c r="E25" s="135">
        <f t="shared" si="2"/>
        <v>311.3</v>
      </c>
      <c r="F25" s="133">
        <f t="shared" si="3"/>
        <v>435.8</v>
      </c>
      <c r="G25" s="135">
        <f t="shared" si="4"/>
        <v>12143.2</v>
      </c>
    </row>
    <row r="26" ht="14.25" hidden="1" customHeight="1">
      <c r="A26" s="131">
        <v>22.0</v>
      </c>
      <c r="B26" s="132">
        <v>46232.0</v>
      </c>
      <c r="C26" s="146"/>
      <c r="D26" s="135">
        <f t="shared" si="1"/>
        <v>121.4</v>
      </c>
      <c r="E26" s="135">
        <f t="shared" si="2"/>
        <v>311.3</v>
      </c>
      <c r="F26" s="133">
        <f t="shared" si="3"/>
        <v>432.7</v>
      </c>
      <c r="G26" s="135">
        <f t="shared" si="4"/>
        <v>11831.9</v>
      </c>
    </row>
    <row r="27" ht="14.25" hidden="1" customHeight="1">
      <c r="A27" s="131">
        <v>23.0</v>
      </c>
      <c r="B27" s="132">
        <v>46263.0</v>
      </c>
      <c r="C27" s="146"/>
      <c r="D27" s="135">
        <f t="shared" si="1"/>
        <v>118.3</v>
      </c>
      <c r="E27" s="135">
        <f t="shared" si="2"/>
        <v>311.3</v>
      </c>
      <c r="F27" s="133">
        <f t="shared" si="3"/>
        <v>429.6</v>
      </c>
      <c r="G27" s="135">
        <f t="shared" si="4"/>
        <v>11520.6</v>
      </c>
    </row>
    <row r="28" ht="14.25" hidden="1" customHeight="1">
      <c r="A28" s="131">
        <v>24.0</v>
      </c>
      <c r="B28" s="132">
        <v>46294.0</v>
      </c>
      <c r="C28" s="146"/>
      <c r="D28" s="135">
        <f t="shared" si="1"/>
        <v>115.2</v>
      </c>
      <c r="E28" s="135">
        <f t="shared" si="2"/>
        <v>311.3</v>
      </c>
      <c r="F28" s="133">
        <f t="shared" si="3"/>
        <v>426.5</v>
      </c>
      <c r="G28" s="135">
        <f t="shared" si="4"/>
        <v>11209.3</v>
      </c>
    </row>
    <row r="29" ht="14.25" hidden="1" customHeight="1">
      <c r="A29" s="131">
        <v>25.0</v>
      </c>
      <c r="B29" s="132">
        <v>46324.0</v>
      </c>
      <c r="C29" s="146"/>
      <c r="D29" s="135">
        <f t="shared" si="1"/>
        <v>112.1</v>
      </c>
      <c r="E29" s="135">
        <f t="shared" si="2"/>
        <v>311.3</v>
      </c>
      <c r="F29" s="133">
        <f t="shared" si="3"/>
        <v>423.4</v>
      </c>
      <c r="G29" s="135">
        <f t="shared" si="4"/>
        <v>10898</v>
      </c>
    </row>
    <row r="30" ht="14.25" hidden="1" customHeight="1">
      <c r="A30" s="131">
        <v>26.0</v>
      </c>
      <c r="B30" s="132">
        <v>46355.0</v>
      </c>
      <c r="C30" s="146"/>
      <c r="D30" s="135">
        <f t="shared" si="1"/>
        <v>109</v>
      </c>
      <c r="E30" s="135">
        <f t="shared" si="2"/>
        <v>311.3</v>
      </c>
      <c r="F30" s="133">
        <f t="shared" si="3"/>
        <v>420.3</v>
      </c>
      <c r="G30" s="135">
        <f t="shared" si="4"/>
        <v>10586.7</v>
      </c>
    </row>
    <row r="31" ht="14.25" hidden="1" customHeight="1">
      <c r="A31" s="131">
        <v>27.0</v>
      </c>
      <c r="B31" s="132">
        <v>46385.0</v>
      </c>
      <c r="C31" s="146"/>
      <c r="D31" s="135">
        <f t="shared" si="1"/>
        <v>105.9</v>
      </c>
      <c r="E31" s="135">
        <f t="shared" si="2"/>
        <v>311.3</v>
      </c>
      <c r="F31" s="133">
        <f t="shared" si="3"/>
        <v>417.2</v>
      </c>
      <c r="G31" s="135">
        <f t="shared" si="4"/>
        <v>10275.4</v>
      </c>
    </row>
    <row r="32" ht="14.25" hidden="1" customHeight="1">
      <c r="A32" s="131">
        <v>28.0</v>
      </c>
      <c r="B32" s="132">
        <v>46416.0</v>
      </c>
      <c r="C32" s="146"/>
      <c r="D32" s="135">
        <f t="shared" si="1"/>
        <v>102.8</v>
      </c>
      <c r="E32" s="135">
        <f t="shared" si="2"/>
        <v>311.3</v>
      </c>
      <c r="F32" s="133">
        <f t="shared" si="3"/>
        <v>414.1</v>
      </c>
      <c r="G32" s="135">
        <f t="shared" si="4"/>
        <v>9964.1</v>
      </c>
    </row>
    <row r="33" ht="14.25" hidden="1" customHeight="1">
      <c r="A33" s="131">
        <v>29.0</v>
      </c>
      <c r="B33" s="132">
        <v>46446.0</v>
      </c>
      <c r="C33" s="146"/>
      <c r="D33" s="135">
        <f t="shared" si="1"/>
        <v>99.6</v>
      </c>
      <c r="E33" s="135">
        <f t="shared" si="2"/>
        <v>311.3</v>
      </c>
      <c r="F33" s="133">
        <f t="shared" si="3"/>
        <v>410.9</v>
      </c>
      <c r="G33" s="135">
        <f t="shared" si="4"/>
        <v>9652.8</v>
      </c>
    </row>
    <row r="34" ht="14.25" hidden="1" customHeight="1">
      <c r="A34" s="131">
        <v>30.0</v>
      </c>
      <c r="B34" s="132">
        <v>46475.0</v>
      </c>
      <c r="C34" s="146"/>
      <c r="D34" s="135">
        <f t="shared" si="1"/>
        <v>96.5</v>
      </c>
      <c r="E34" s="135">
        <f t="shared" si="2"/>
        <v>311.3</v>
      </c>
      <c r="F34" s="133">
        <f t="shared" si="3"/>
        <v>407.8</v>
      </c>
      <c r="G34" s="135">
        <f t="shared" si="4"/>
        <v>9341.5</v>
      </c>
    </row>
    <row r="35" ht="14.25" hidden="1" customHeight="1">
      <c r="A35" s="131">
        <v>31.0</v>
      </c>
      <c r="B35" s="132">
        <v>46506.0</v>
      </c>
      <c r="C35" s="146"/>
      <c r="D35" s="135">
        <f t="shared" si="1"/>
        <v>93.4</v>
      </c>
      <c r="E35" s="135">
        <f t="shared" si="2"/>
        <v>311.3</v>
      </c>
      <c r="F35" s="133">
        <f t="shared" si="3"/>
        <v>404.7</v>
      </c>
      <c r="G35" s="135">
        <f t="shared" si="4"/>
        <v>9030.2</v>
      </c>
    </row>
    <row r="36" ht="14.25" hidden="1" customHeight="1">
      <c r="A36" s="131">
        <v>32.0</v>
      </c>
      <c r="B36" s="132">
        <v>46536.0</v>
      </c>
      <c r="C36" s="146"/>
      <c r="D36" s="135">
        <f t="shared" si="1"/>
        <v>90.3</v>
      </c>
      <c r="E36" s="135">
        <f t="shared" si="2"/>
        <v>311.3</v>
      </c>
      <c r="F36" s="133">
        <f t="shared" si="3"/>
        <v>401.6</v>
      </c>
      <c r="G36" s="135">
        <f t="shared" si="4"/>
        <v>8718.9</v>
      </c>
    </row>
    <row r="37" ht="14.25" hidden="1" customHeight="1">
      <c r="A37" s="131">
        <v>33.0</v>
      </c>
      <c r="B37" s="132">
        <v>46567.0</v>
      </c>
      <c r="C37" s="146"/>
      <c r="D37" s="135">
        <f t="shared" si="1"/>
        <v>87.2</v>
      </c>
      <c r="E37" s="135">
        <f t="shared" si="2"/>
        <v>311.3</v>
      </c>
      <c r="F37" s="133">
        <f t="shared" si="3"/>
        <v>398.5</v>
      </c>
      <c r="G37" s="135">
        <f t="shared" si="4"/>
        <v>8407.6</v>
      </c>
    </row>
    <row r="38" ht="14.25" hidden="1" customHeight="1">
      <c r="A38" s="131">
        <v>34.0</v>
      </c>
      <c r="B38" s="132">
        <v>46597.0</v>
      </c>
      <c r="C38" s="146"/>
      <c r="D38" s="135">
        <f t="shared" si="1"/>
        <v>84.1</v>
      </c>
      <c r="E38" s="135">
        <f t="shared" si="2"/>
        <v>311.3</v>
      </c>
      <c r="F38" s="133">
        <f t="shared" si="3"/>
        <v>395.4</v>
      </c>
      <c r="G38" s="135">
        <f t="shared" si="4"/>
        <v>8096.3</v>
      </c>
    </row>
    <row r="39" ht="14.25" hidden="1" customHeight="1">
      <c r="A39" s="131">
        <v>35.0</v>
      </c>
      <c r="B39" s="132">
        <v>46628.0</v>
      </c>
      <c r="C39" s="146"/>
      <c r="D39" s="135">
        <f t="shared" si="1"/>
        <v>81</v>
      </c>
      <c r="E39" s="135">
        <f t="shared" si="2"/>
        <v>311.3</v>
      </c>
      <c r="F39" s="133">
        <f t="shared" si="3"/>
        <v>392.3</v>
      </c>
      <c r="G39" s="135">
        <f t="shared" si="4"/>
        <v>7785</v>
      </c>
    </row>
    <row r="40" ht="14.25" hidden="1" customHeight="1">
      <c r="A40" s="131">
        <v>36.0</v>
      </c>
      <c r="B40" s="132">
        <v>46659.0</v>
      </c>
      <c r="C40" s="146"/>
      <c r="D40" s="135">
        <f t="shared" si="1"/>
        <v>77.9</v>
      </c>
      <c r="E40" s="135">
        <f t="shared" si="2"/>
        <v>311.3</v>
      </c>
      <c r="F40" s="133">
        <f t="shared" si="3"/>
        <v>389.2</v>
      </c>
      <c r="G40" s="135">
        <f t="shared" si="4"/>
        <v>7473.7</v>
      </c>
    </row>
    <row r="41" ht="14.25" hidden="1" customHeight="1">
      <c r="A41" s="131">
        <v>37.0</v>
      </c>
      <c r="B41" s="132">
        <v>46689.0</v>
      </c>
      <c r="C41" s="146"/>
      <c r="D41" s="135">
        <f t="shared" si="1"/>
        <v>74.7</v>
      </c>
      <c r="E41" s="135">
        <f t="shared" si="2"/>
        <v>311.3</v>
      </c>
      <c r="F41" s="133">
        <f t="shared" si="3"/>
        <v>386</v>
      </c>
      <c r="G41" s="135">
        <f t="shared" si="4"/>
        <v>7162.4</v>
      </c>
    </row>
    <row r="42" ht="14.25" hidden="1" customHeight="1">
      <c r="A42" s="131">
        <v>38.0</v>
      </c>
      <c r="B42" s="132">
        <v>46720.0</v>
      </c>
      <c r="C42" s="146"/>
      <c r="D42" s="135">
        <f t="shared" si="1"/>
        <v>71.6</v>
      </c>
      <c r="E42" s="135">
        <f t="shared" si="2"/>
        <v>311.3</v>
      </c>
      <c r="F42" s="133">
        <f t="shared" si="3"/>
        <v>382.9</v>
      </c>
      <c r="G42" s="135">
        <f t="shared" si="4"/>
        <v>6851.1</v>
      </c>
    </row>
    <row r="43" ht="14.25" hidden="1" customHeight="1">
      <c r="A43" s="131">
        <v>39.0</v>
      </c>
      <c r="B43" s="132">
        <v>46750.0</v>
      </c>
      <c r="C43" s="146"/>
      <c r="D43" s="135">
        <f t="shared" si="1"/>
        <v>68.5</v>
      </c>
      <c r="E43" s="135">
        <f t="shared" si="2"/>
        <v>311.3</v>
      </c>
      <c r="F43" s="133">
        <f t="shared" si="3"/>
        <v>379.8</v>
      </c>
      <c r="G43" s="135">
        <f t="shared" si="4"/>
        <v>6539.8</v>
      </c>
    </row>
    <row r="44" ht="14.25" hidden="1" customHeight="1">
      <c r="A44" s="131">
        <v>40.0</v>
      </c>
      <c r="B44" s="132">
        <v>46781.0</v>
      </c>
      <c r="C44" s="146"/>
      <c r="D44" s="135">
        <f t="shared" si="1"/>
        <v>65.4</v>
      </c>
      <c r="E44" s="135">
        <f t="shared" si="2"/>
        <v>311.3</v>
      </c>
      <c r="F44" s="133">
        <f t="shared" si="3"/>
        <v>376.7</v>
      </c>
      <c r="G44" s="135">
        <f t="shared" si="4"/>
        <v>6228.5</v>
      </c>
    </row>
    <row r="45" ht="14.25" hidden="1" customHeight="1">
      <c r="A45" s="131">
        <v>41.0</v>
      </c>
      <c r="B45" s="132">
        <v>46812.0</v>
      </c>
      <c r="C45" s="146"/>
      <c r="D45" s="135">
        <f t="shared" si="1"/>
        <v>62.3</v>
      </c>
      <c r="E45" s="135">
        <f t="shared" si="2"/>
        <v>311.3</v>
      </c>
      <c r="F45" s="133">
        <f t="shared" si="3"/>
        <v>373.6</v>
      </c>
      <c r="G45" s="135">
        <f t="shared" si="4"/>
        <v>5917.2</v>
      </c>
    </row>
    <row r="46" ht="14.25" hidden="1" customHeight="1">
      <c r="A46" s="131">
        <v>42.0</v>
      </c>
      <c r="B46" s="132">
        <v>46841.0</v>
      </c>
      <c r="C46" s="146"/>
      <c r="D46" s="135">
        <f t="shared" si="1"/>
        <v>59.2</v>
      </c>
      <c r="E46" s="135">
        <f t="shared" si="2"/>
        <v>311.3</v>
      </c>
      <c r="F46" s="133">
        <f t="shared" si="3"/>
        <v>370.5</v>
      </c>
      <c r="G46" s="135">
        <f t="shared" si="4"/>
        <v>5605.9</v>
      </c>
    </row>
    <row r="47" ht="14.25" hidden="1" customHeight="1">
      <c r="A47" s="131">
        <v>43.0</v>
      </c>
      <c r="B47" s="132">
        <v>46872.0</v>
      </c>
      <c r="C47" s="146"/>
      <c r="D47" s="135">
        <f t="shared" si="1"/>
        <v>56.1</v>
      </c>
      <c r="E47" s="135">
        <f t="shared" si="2"/>
        <v>311.3</v>
      </c>
      <c r="F47" s="133">
        <f t="shared" si="3"/>
        <v>367.4</v>
      </c>
      <c r="G47" s="135">
        <f t="shared" si="4"/>
        <v>5294.6</v>
      </c>
    </row>
    <row r="48" ht="14.25" hidden="1" customHeight="1">
      <c r="A48" s="131">
        <v>44.0</v>
      </c>
      <c r="B48" s="132">
        <v>46902.0</v>
      </c>
      <c r="C48" s="146"/>
      <c r="D48" s="135">
        <f t="shared" si="1"/>
        <v>52.9</v>
      </c>
      <c r="E48" s="135">
        <f t="shared" si="2"/>
        <v>311.3</v>
      </c>
      <c r="F48" s="133">
        <f t="shared" si="3"/>
        <v>364.2</v>
      </c>
      <c r="G48" s="135">
        <f t="shared" si="4"/>
        <v>4983.3</v>
      </c>
    </row>
    <row r="49" ht="14.25" hidden="1" customHeight="1">
      <c r="A49" s="131">
        <v>45.0</v>
      </c>
      <c r="B49" s="132">
        <v>46933.0</v>
      </c>
      <c r="C49" s="146"/>
      <c r="D49" s="135">
        <f t="shared" si="1"/>
        <v>49.8</v>
      </c>
      <c r="E49" s="135">
        <f t="shared" si="2"/>
        <v>311.3</v>
      </c>
      <c r="F49" s="133">
        <f t="shared" si="3"/>
        <v>361.1</v>
      </c>
      <c r="G49" s="135">
        <f t="shared" si="4"/>
        <v>4672</v>
      </c>
    </row>
    <row r="50" ht="14.25" hidden="1" customHeight="1">
      <c r="A50" s="131">
        <v>46.0</v>
      </c>
      <c r="B50" s="132">
        <v>46963.0</v>
      </c>
      <c r="C50" s="146"/>
      <c r="D50" s="135">
        <f t="shared" si="1"/>
        <v>46.7</v>
      </c>
      <c r="E50" s="135">
        <f t="shared" si="2"/>
        <v>311.3</v>
      </c>
      <c r="F50" s="133">
        <f t="shared" si="3"/>
        <v>358</v>
      </c>
      <c r="G50" s="135">
        <f t="shared" si="4"/>
        <v>4360.7</v>
      </c>
    </row>
    <row r="51" ht="14.25" hidden="1" customHeight="1">
      <c r="A51" s="131">
        <v>47.0</v>
      </c>
      <c r="B51" s="132">
        <v>46994.0</v>
      </c>
      <c r="C51" s="146"/>
      <c r="D51" s="135">
        <f t="shared" si="1"/>
        <v>43.6</v>
      </c>
      <c r="E51" s="135">
        <f t="shared" si="2"/>
        <v>311.3</v>
      </c>
      <c r="F51" s="133">
        <f t="shared" si="3"/>
        <v>354.9</v>
      </c>
      <c r="G51" s="135">
        <f t="shared" si="4"/>
        <v>4049.4</v>
      </c>
    </row>
    <row r="52" ht="14.25" hidden="1" customHeight="1">
      <c r="A52" s="131">
        <v>48.0</v>
      </c>
      <c r="B52" s="132">
        <v>47025.0</v>
      </c>
      <c r="C52" s="146"/>
      <c r="D52" s="135">
        <f t="shared" si="1"/>
        <v>40.5</v>
      </c>
      <c r="E52" s="135">
        <f t="shared" si="2"/>
        <v>311.3</v>
      </c>
      <c r="F52" s="133">
        <f t="shared" si="3"/>
        <v>351.8</v>
      </c>
      <c r="G52" s="135">
        <f t="shared" si="4"/>
        <v>3738.1</v>
      </c>
    </row>
    <row r="53" ht="14.25" hidden="1" customHeight="1">
      <c r="A53" s="131">
        <v>49.0</v>
      </c>
      <c r="B53" s="132">
        <v>47055.0</v>
      </c>
      <c r="C53" s="146"/>
      <c r="D53" s="135">
        <f t="shared" si="1"/>
        <v>37.4</v>
      </c>
      <c r="E53" s="135">
        <f t="shared" si="2"/>
        <v>311.3</v>
      </c>
      <c r="F53" s="133">
        <f t="shared" si="3"/>
        <v>348.7</v>
      </c>
      <c r="G53" s="135">
        <f t="shared" si="4"/>
        <v>3426.8</v>
      </c>
    </row>
    <row r="54" ht="14.25" hidden="1" customHeight="1">
      <c r="A54" s="131">
        <v>50.0</v>
      </c>
      <c r="B54" s="132">
        <v>47086.0</v>
      </c>
      <c r="C54" s="146"/>
      <c r="D54" s="135">
        <f t="shared" si="1"/>
        <v>34.3</v>
      </c>
      <c r="E54" s="135">
        <f t="shared" si="2"/>
        <v>311.3</v>
      </c>
      <c r="F54" s="133">
        <f t="shared" si="3"/>
        <v>345.6</v>
      </c>
      <c r="G54" s="135">
        <f t="shared" si="4"/>
        <v>3115.5</v>
      </c>
    </row>
    <row r="55" ht="14.25" hidden="1" customHeight="1">
      <c r="A55" s="131">
        <v>51.0</v>
      </c>
      <c r="B55" s="132">
        <v>47116.0</v>
      </c>
      <c r="C55" s="146"/>
      <c r="D55" s="135">
        <f t="shared" si="1"/>
        <v>31.2</v>
      </c>
      <c r="E55" s="135">
        <f t="shared" si="2"/>
        <v>311.3</v>
      </c>
      <c r="F55" s="133">
        <f t="shared" si="3"/>
        <v>342.5</v>
      </c>
      <c r="G55" s="135">
        <f t="shared" si="4"/>
        <v>2804.2</v>
      </c>
    </row>
    <row r="56" ht="14.25" hidden="1" customHeight="1">
      <c r="A56" s="131">
        <v>52.0</v>
      </c>
      <c r="B56" s="132">
        <v>47147.0</v>
      </c>
      <c r="C56" s="146"/>
      <c r="D56" s="135">
        <f t="shared" si="1"/>
        <v>28</v>
      </c>
      <c r="E56" s="135">
        <f t="shared" si="2"/>
        <v>311.3</v>
      </c>
      <c r="F56" s="133">
        <f t="shared" si="3"/>
        <v>339.3</v>
      </c>
      <c r="G56" s="135">
        <f t="shared" si="4"/>
        <v>2492.9</v>
      </c>
    </row>
    <row r="57" ht="14.25" hidden="1" customHeight="1">
      <c r="A57" s="131">
        <v>53.0</v>
      </c>
      <c r="B57" s="132">
        <v>47177.0</v>
      </c>
      <c r="C57" s="146"/>
      <c r="D57" s="135">
        <f t="shared" si="1"/>
        <v>24.9</v>
      </c>
      <c r="E57" s="135">
        <f t="shared" si="2"/>
        <v>311.3</v>
      </c>
      <c r="F57" s="133">
        <f t="shared" si="3"/>
        <v>336.2</v>
      </c>
      <c r="G57" s="135">
        <f t="shared" si="4"/>
        <v>2181.6</v>
      </c>
    </row>
    <row r="58" ht="14.25" hidden="1" customHeight="1">
      <c r="A58" s="131">
        <v>54.0</v>
      </c>
      <c r="B58" s="132">
        <v>47206.0</v>
      </c>
      <c r="C58" s="146"/>
      <c r="D58" s="135">
        <f t="shared" si="1"/>
        <v>21.8</v>
      </c>
      <c r="E58" s="135">
        <f t="shared" si="2"/>
        <v>311.3</v>
      </c>
      <c r="F58" s="133">
        <f t="shared" si="3"/>
        <v>333.1</v>
      </c>
      <c r="G58" s="135">
        <f t="shared" si="4"/>
        <v>1870.3</v>
      </c>
    </row>
    <row r="59" ht="14.25" hidden="1" customHeight="1">
      <c r="A59" s="131">
        <v>55.0</v>
      </c>
      <c r="B59" s="132">
        <v>47237.0</v>
      </c>
      <c r="C59" s="146"/>
      <c r="D59" s="135">
        <f t="shared" si="1"/>
        <v>18.7</v>
      </c>
      <c r="E59" s="135">
        <f t="shared" si="2"/>
        <v>311.3</v>
      </c>
      <c r="F59" s="133">
        <f t="shared" si="3"/>
        <v>330</v>
      </c>
      <c r="G59" s="135">
        <f t="shared" si="4"/>
        <v>1559</v>
      </c>
    </row>
    <row r="60" ht="14.25" hidden="1" customHeight="1">
      <c r="A60" s="131">
        <v>56.0</v>
      </c>
      <c r="B60" s="132">
        <v>47267.0</v>
      </c>
      <c r="C60" s="146"/>
      <c r="D60" s="135">
        <f t="shared" si="1"/>
        <v>15.6</v>
      </c>
      <c r="E60" s="135">
        <f t="shared" si="2"/>
        <v>311.3</v>
      </c>
      <c r="F60" s="133">
        <f t="shared" si="3"/>
        <v>326.9</v>
      </c>
      <c r="G60" s="135">
        <f t="shared" si="4"/>
        <v>1247.7</v>
      </c>
    </row>
    <row r="61" ht="14.25" hidden="1" customHeight="1">
      <c r="A61" s="131">
        <v>57.0</v>
      </c>
      <c r="B61" s="132">
        <v>47298.0</v>
      </c>
      <c r="C61" s="146"/>
      <c r="D61" s="135">
        <f t="shared" si="1"/>
        <v>12.5</v>
      </c>
      <c r="E61" s="135">
        <f t="shared" si="2"/>
        <v>311.3</v>
      </c>
      <c r="F61" s="133">
        <f t="shared" si="3"/>
        <v>323.8</v>
      </c>
      <c r="G61" s="135">
        <f t="shared" si="4"/>
        <v>936.4</v>
      </c>
    </row>
    <row r="62" ht="14.25" hidden="1" customHeight="1">
      <c r="A62" s="131">
        <v>58.0</v>
      </c>
      <c r="B62" s="132">
        <v>47328.0</v>
      </c>
      <c r="C62" s="146"/>
      <c r="D62" s="135">
        <f t="shared" si="1"/>
        <v>9.4</v>
      </c>
      <c r="E62" s="135">
        <f t="shared" si="2"/>
        <v>311.3</v>
      </c>
      <c r="F62" s="133">
        <f t="shared" si="3"/>
        <v>320.7</v>
      </c>
      <c r="G62" s="135">
        <f t="shared" si="4"/>
        <v>625.1</v>
      </c>
    </row>
    <row r="63" ht="14.25" hidden="1" customHeight="1">
      <c r="A63" s="131">
        <v>59.0</v>
      </c>
      <c r="B63" s="132">
        <v>47359.0</v>
      </c>
      <c r="C63" s="146"/>
      <c r="D63" s="135">
        <f t="shared" si="1"/>
        <v>6.3</v>
      </c>
      <c r="E63" s="135">
        <f t="shared" si="2"/>
        <v>311.3</v>
      </c>
      <c r="F63" s="133">
        <f t="shared" si="3"/>
        <v>317.6</v>
      </c>
      <c r="G63" s="135">
        <f t="shared" si="4"/>
        <v>313.8</v>
      </c>
    </row>
    <row r="64" ht="14.25" hidden="1" customHeight="1">
      <c r="A64" s="131">
        <v>60.0</v>
      </c>
      <c r="B64" s="132">
        <v>47390.0</v>
      </c>
      <c r="C64" s="146"/>
      <c r="D64" s="135">
        <f t="shared" si="1"/>
        <v>3.1</v>
      </c>
      <c r="E64" s="135">
        <f>ROUNDDOWN($C$4/60,1)+2.5</f>
        <v>313.8</v>
      </c>
      <c r="F64" s="133">
        <f t="shared" si="3"/>
        <v>316.9</v>
      </c>
      <c r="G64" s="135">
        <f t="shared" si="4"/>
        <v>0</v>
      </c>
    </row>
    <row r="65" ht="14.25" hidden="1" customHeight="1">
      <c r="A65" s="129" t="s">
        <v>252</v>
      </c>
      <c r="B65" s="2"/>
      <c r="C65" s="3"/>
      <c r="D65" s="147">
        <f t="shared" ref="D65:F65" si="5">+SUM(D5:D64)</f>
        <v>5698.4</v>
      </c>
      <c r="E65" s="147">
        <f t="shared" si="5"/>
        <v>18680.5</v>
      </c>
      <c r="F65" s="147">
        <f t="shared" si="5"/>
        <v>24378.9</v>
      </c>
      <c r="G65" s="148"/>
    </row>
    <row r="66" ht="14.25" customHeight="1"/>
    <row r="67" ht="14.25" customHeight="1">
      <c r="A67" s="128" t="s">
        <v>366</v>
      </c>
      <c r="B67" s="2"/>
      <c r="C67" s="2"/>
      <c r="D67" s="2"/>
      <c r="E67" s="2"/>
      <c r="F67" s="2"/>
      <c r="G67" s="3"/>
    </row>
    <row r="68" ht="14.25" customHeight="1">
      <c r="A68" s="150" t="s">
        <v>362</v>
      </c>
      <c r="B68" s="2"/>
      <c r="C68" s="2"/>
      <c r="D68" s="2"/>
      <c r="E68" s="2"/>
      <c r="F68" s="2"/>
      <c r="G68" s="3"/>
    </row>
    <row r="69" ht="14.25" customHeight="1">
      <c r="A69" s="130" t="s">
        <v>326</v>
      </c>
      <c r="B69" s="130" t="s">
        <v>256</v>
      </c>
      <c r="C69" s="130" t="s">
        <v>327</v>
      </c>
      <c r="D69" s="130" t="s">
        <v>328</v>
      </c>
      <c r="E69" s="130" t="s">
        <v>329</v>
      </c>
      <c r="F69" s="130" t="s">
        <v>330</v>
      </c>
      <c r="G69" s="130" t="s">
        <v>209</v>
      </c>
    </row>
    <row r="70" ht="14.25" customHeight="1">
      <c r="A70" s="131">
        <v>0.0</v>
      </c>
      <c r="B70" s="132">
        <v>46051.0</v>
      </c>
      <c r="C70" s="133">
        <f>+J73</f>
        <v>21001.4</v>
      </c>
      <c r="D70" s="134">
        <v>0.01</v>
      </c>
      <c r="E70" s="135"/>
      <c r="F70" s="135"/>
      <c r="G70" s="135">
        <f>+C70</f>
        <v>21001.4</v>
      </c>
    </row>
    <row r="71" ht="14.25" customHeight="1">
      <c r="A71" s="136">
        <v>1.0</v>
      </c>
      <c r="B71" s="137">
        <v>46081.0</v>
      </c>
      <c r="C71" s="145"/>
      <c r="D71" s="138">
        <f t="shared" ref="D71:D154" si="6">+ROUND(G70*0.01,1)</f>
        <v>210</v>
      </c>
      <c r="E71" s="138">
        <f t="shared" ref="E71:E153" si="7">ROUND($C$70/84,1)</f>
        <v>250</v>
      </c>
      <c r="F71" s="139">
        <f t="shared" ref="F71:F154" si="8">+ROUND(D71+E71,1)</f>
        <v>460</v>
      </c>
      <c r="G71" s="138">
        <f t="shared" ref="G71:G154" si="9">+ROUND(G70-E71,1)</f>
        <v>20751.4</v>
      </c>
      <c r="I71" s="140" t="s">
        <v>209</v>
      </c>
      <c r="J71" s="141">
        <f>G20</f>
        <v>13699.7</v>
      </c>
    </row>
    <row r="72" ht="14.25" customHeight="1">
      <c r="A72" s="131">
        <v>2.0</v>
      </c>
      <c r="B72" s="132">
        <v>46110.0</v>
      </c>
      <c r="C72" s="146"/>
      <c r="D72" s="135">
        <f t="shared" si="6"/>
        <v>207.5</v>
      </c>
      <c r="E72" s="135">
        <f t="shared" si="7"/>
        <v>250</v>
      </c>
      <c r="F72" s="133">
        <f t="shared" si="8"/>
        <v>457.5</v>
      </c>
      <c r="G72" s="135">
        <f t="shared" si="9"/>
        <v>20501.4</v>
      </c>
      <c r="I72" s="140" t="s">
        <v>331</v>
      </c>
      <c r="J72" s="151">
        <v>7301.7</v>
      </c>
    </row>
    <row r="73" ht="14.25" customHeight="1">
      <c r="A73" s="131">
        <v>3.0</v>
      </c>
      <c r="B73" s="132">
        <v>46141.0</v>
      </c>
      <c r="C73" s="146"/>
      <c r="D73" s="135">
        <f t="shared" si="6"/>
        <v>205</v>
      </c>
      <c r="E73" s="135">
        <f t="shared" si="7"/>
        <v>250</v>
      </c>
      <c r="F73" s="133">
        <f t="shared" si="8"/>
        <v>455</v>
      </c>
      <c r="G73" s="135">
        <f t="shared" si="9"/>
        <v>20251.4</v>
      </c>
      <c r="I73" s="142" t="s">
        <v>252</v>
      </c>
      <c r="J73" s="143">
        <f>+SUM(J71:J72)</f>
        <v>21001.4</v>
      </c>
    </row>
    <row r="74" ht="14.25" customHeight="1">
      <c r="A74" s="131">
        <v>4.0</v>
      </c>
      <c r="B74" s="132">
        <v>46171.0</v>
      </c>
      <c r="C74" s="146"/>
      <c r="D74" s="135">
        <f t="shared" si="6"/>
        <v>202.5</v>
      </c>
      <c r="E74" s="135">
        <f t="shared" si="7"/>
        <v>250</v>
      </c>
      <c r="F74" s="133">
        <f t="shared" si="8"/>
        <v>452.5</v>
      </c>
      <c r="G74" s="135">
        <f t="shared" si="9"/>
        <v>20001.4</v>
      </c>
    </row>
    <row r="75" ht="14.25" customHeight="1">
      <c r="A75" s="131">
        <v>5.0</v>
      </c>
      <c r="B75" s="132">
        <v>46202.0</v>
      </c>
      <c r="C75" s="146"/>
      <c r="D75" s="135">
        <f t="shared" si="6"/>
        <v>200</v>
      </c>
      <c r="E75" s="135">
        <f t="shared" si="7"/>
        <v>250</v>
      </c>
      <c r="F75" s="133">
        <f t="shared" si="8"/>
        <v>450</v>
      </c>
      <c r="G75" s="135">
        <f t="shared" si="9"/>
        <v>19751.4</v>
      </c>
    </row>
    <row r="76" ht="14.25" customHeight="1">
      <c r="A76" s="131">
        <v>6.0</v>
      </c>
      <c r="B76" s="132">
        <v>46232.0</v>
      </c>
      <c r="C76" s="146"/>
      <c r="D76" s="135">
        <f t="shared" si="6"/>
        <v>197.5</v>
      </c>
      <c r="E76" s="135">
        <f t="shared" si="7"/>
        <v>250</v>
      </c>
      <c r="F76" s="133">
        <f t="shared" si="8"/>
        <v>447.5</v>
      </c>
      <c r="G76" s="135">
        <f t="shared" si="9"/>
        <v>19501.4</v>
      </c>
    </row>
    <row r="77" ht="14.25" customHeight="1">
      <c r="A77" s="131">
        <v>7.0</v>
      </c>
      <c r="B77" s="132">
        <v>46263.0</v>
      </c>
      <c r="C77" s="146"/>
      <c r="D77" s="135">
        <f t="shared" si="6"/>
        <v>195</v>
      </c>
      <c r="E77" s="135">
        <f t="shared" si="7"/>
        <v>250</v>
      </c>
      <c r="F77" s="133">
        <f t="shared" si="8"/>
        <v>445</v>
      </c>
      <c r="G77" s="135">
        <f t="shared" si="9"/>
        <v>19251.4</v>
      </c>
    </row>
    <row r="78" ht="14.25" customHeight="1">
      <c r="A78" s="131">
        <v>8.0</v>
      </c>
      <c r="B78" s="132">
        <v>46294.0</v>
      </c>
      <c r="C78" s="146"/>
      <c r="D78" s="135">
        <f t="shared" si="6"/>
        <v>192.5</v>
      </c>
      <c r="E78" s="135">
        <f t="shared" si="7"/>
        <v>250</v>
      </c>
      <c r="F78" s="133">
        <f t="shared" si="8"/>
        <v>442.5</v>
      </c>
      <c r="G78" s="135">
        <f t="shared" si="9"/>
        <v>19001.4</v>
      </c>
    </row>
    <row r="79" ht="14.25" customHeight="1">
      <c r="A79" s="131">
        <v>9.0</v>
      </c>
      <c r="B79" s="132">
        <v>46324.0</v>
      </c>
      <c r="C79" s="146"/>
      <c r="D79" s="135">
        <f t="shared" si="6"/>
        <v>190</v>
      </c>
      <c r="E79" s="135">
        <f t="shared" si="7"/>
        <v>250</v>
      </c>
      <c r="F79" s="133">
        <f t="shared" si="8"/>
        <v>440</v>
      </c>
      <c r="G79" s="135">
        <f t="shared" si="9"/>
        <v>18751.4</v>
      </c>
    </row>
    <row r="80" ht="14.25" customHeight="1">
      <c r="A80" s="131">
        <v>10.0</v>
      </c>
      <c r="B80" s="132">
        <v>46355.0</v>
      </c>
      <c r="C80" s="146"/>
      <c r="D80" s="135">
        <f t="shared" si="6"/>
        <v>187.5</v>
      </c>
      <c r="E80" s="135">
        <f t="shared" si="7"/>
        <v>250</v>
      </c>
      <c r="F80" s="133">
        <f t="shared" si="8"/>
        <v>437.5</v>
      </c>
      <c r="G80" s="135">
        <f t="shared" si="9"/>
        <v>18501.4</v>
      </c>
    </row>
    <row r="81" ht="14.25" customHeight="1">
      <c r="A81" s="131">
        <v>11.0</v>
      </c>
      <c r="B81" s="132">
        <v>46385.0</v>
      </c>
      <c r="C81" s="146"/>
      <c r="D81" s="135">
        <f t="shared" si="6"/>
        <v>185</v>
      </c>
      <c r="E81" s="135">
        <f t="shared" si="7"/>
        <v>250</v>
      </c>
      <c r="F81" s="133">
        <f t="shared" si="8"/>
        <v>435</v>
      </c>
      <c r="G81" s="135">
        <f t="shared" si="9"/>
        <v>18251.4</v>
      </c>
    </row>
    <row r="82" ht="14.25" customHeight="1">
      <c r="A82" s="131">
        <v>12.0</v>
      </c>
      <c r="B82" s="132">
        <v>46416.0</v>
      </c>
      <c r="C82" s="146"/>
      <c r="D82" s="135">
        <f t="shared" si="6"/>
        <v>182.5</v>
      </c>
      <c r="E82" s="135">
        <f t="shared" si="7"/>
        <v>250</v>
      </c>
      <c r="F82" s="133">
        <f t="shared" si="8"/>
        <v>432.5</v>
      </c>
      <c r="G82" s="135">
        <f t="shared" si="9"/>
        <v>18001.4</v>
      </c>
    </row>
    <row r="83" ht="14.25" customHeight="1">
      <c r="A83" s="131">
        <v>13.0</v>
      </c>
      <c r="B83" s="132">
        <v>46446.0</v>
      </c>
      <c r="C83" s="146"/>
      <c r="D83" s="135">
        <f t="shared" si="6"/>
        <v>180</v>
      </c>
      <c r="E83" s="135">
        <f t="shared" si="7"/>
        <v>250</v>
      </c>
      <c r="F83" s="133">
        <f t="shared" si="8"/>
        <v>430</v>
      </c>
      <c r="G83" s="135">
        <f t="shared" si="9"/>
        <v>17751.4</v>
      </c>
    </row>
    <row r="84" ht="14.25" customHeight="1">
      <c r="A84" s="131">
        <v>14.0</v>
      </c>
      <c r="B84" s="132">
        <v>46475.0</v>
      </c>
      <c r="C84" s="146"/>
      <c r="D84" s="135">
        <f t="shared" si="6"/>
        <v>177.5</v>
      </c>
      <c r="E84" s="135">
        <f t="shared" si="7"/>
        <v>250</v>
      </c>
      <c r="F84" s="133">
        <f t="shared" si="8"/>
        <v>427.5</v>
      </c>
      <c r="G84" s="135">
        <f t="shared" si="9"/>
        <v>17501.4</v>
      </c>
    </row>
    <row r="85" ht="14.25" customHeight="1">
      <c r="A85" s="131">
        <v>15.0</v>
      </c>
      <c r="B85" s="132">
        <v>46506.0</v>
      </c>
      <c r="C85" s="146"/>
      <c r="D85" s="135">
        <f t="shared" si="6"/>
        <v>175</v>
      </c>
      <c r="E85" s="135">
        <f t="shared" si="7"/>
        <v>250</v>
      </c>
      <c r="F85" s="133">
        <f t="shared" si="8"/>
        <v>425</v>
      </c>
      <c r="G85" s="135">
        <f t="shared" si="9"/>
        <v>17251.4</v>
      </c>
    </row>
    <row r="86" ht="14.25" customHeight="1">
      <c r="A86" s="131">
        <v>16.0</v>
      </c>
      <c r="B86" s="132">
        <v>46536.0</v>
      </c>
      <c r="C86" s="146"/>
      <c r="D86" s="135">
        <f t="shared" si="6"/>
        <v>172.5</v>
      </c>
      <c r="E86" s="135">
        <f t="shared" si="7"/>
        <v>250</v>
      </c>
      <c r="F86" s="133">
        <f t="shared" si="8"/>
        <v>422.5</v>
      </c>
      <c r="G86" s="135">
        <f t="shared" si="9"/>
        <v>17001.4</v>
      </c>
    </row>
    <row r="87" ht="14.25" customHeight="1">
      <c r="A87" s="131">
        <v>17.0</v>
      </c>
      <c r="B87" s="132">
        <v>46567.0</v>
      </c>
      <c r="C87" s="146"/>
      <c r="D87" s="135">
        <f t="shared" si="6"/>
        <v>170</v>
      </c>
      <c r="E87" s="135">
        <f t="shared" si="7"/>
        <v>250</v>
      </c>
      <c r="F87" s="133">
        <f t="shared" si="8"/>
        <v>420</v>
      </c>
      <c r="G87" s="135">
        <f t="shared" si="9"/>
        <v>16751.4</v>
      </c>
    </row>
    <row r="88" ht="14.25" customHeight="1">
      <c r="A88" s="131">
        <v>18.0</v>
      </c>
      <c r="B88" s="132">
        <v>46597.0</v>
      </c>
      <c r="C88" s="146"/>
      <c r="D88" s="135">
        <f t="shared" si="6"/>
        <v>167.5</v>
      </c>
      <c r="E88" s="135">
        <f t="shared" si="7"/>
        <v>250</v>
      </c>
      <c r="F88" s="133">
        <f t="shared" si="8"/>
        <v>417.5</v>
      </c>
      <c r="G88" s="135">
        <f t="shared" si="9"/>
        <v>16501.4</v>
      </c>
    </row>
    <row r="89" ht="14.25" customHeight="1">
      <c r="A89" s="131">
        <v>19.0</v>
      </c>
      <c r="B89" s="132">
        <v>46628.0</v>
      </c>
      <c r="C89" s="146"/>
      <c r="D89" s="135">
        <f t="shared" si="6"/>
        <v>165</v>
      </c>
      <c r="E89" s="135">
        <f t="shared" si="7"/>
        <v>250</v>
      </c>
      <c r="F89" s="133">
        <f t="shared" si="8"/>
        <v>415</v>
      </c>
      <c r="G89" s="135">
        <f t="shared" si="9"/>
        <v>16251.4</v>
      </c>
    </row>
    <row r="90" ht="14.25" customHeight="1">
      <c r="A90" s="131">
        <v>20.0</v>
      </c>
      <c r="B90" s="132">
        <v>46659.0</v>
      </c>
      <c r="C90" s="146"/>
      <c r="D90" s="135">
        <f t="shared" si="6"/>
        <v>162.5</v>
      </c>
      <c r="E90" s="135">
        <f t="shared" si="7"/>
        <v>250</v>
      </c>
      <c r="F90" s="133">
        <f t="shared" si="8"/>
        <v>412.5</v>
      </c>
      <c r="G90" s="135">
        <f t="shared" si="9"/>
        <v>16001.4</v>
      </c>
    </row>
    <row r="91" ht="14.25" customHeight="1">
      <c r="A91" s="131">
        <v>21.0</v>
      </c>
      <c r="B91" s="132">
        <v>46689.0</v>
      </c>
      <c r="C91" s="146"/>
      <c r="D91" s="135">
        <f t="shared" si="6"/>
        <v>160</v>
      </c>
      <c r="E91" s="135">
        <f t="shared" si="7"/>
        <v>250</v>
      </c>
      <c r="F91" s="133">
        <f t="shared" si="8"/>
        <v>410</v>
      </c>
      <c r="G91" s="135">
        <f t="shared" si="9"/>
        <v>15751.4</v>
      </c>
    </row>
    <row r="92" ht="14.25" customHeight="1">
      <c r="A92" s="131">
        <v>22.0</v>
      </c>
      <c r="B92" s="132">
        <v>46720.0</v>
      </c>
      <c r="C92" s="146"/>
      <c r="D92" s="135">
        <f t="shared" si="6"/>
        <v>157.5</v>
      </c>
      <c r="E92" s="135">
        <f t="shared" si="7"/>
        <v>250</v>
      </c>
      <c r="F92" s="133">
        <f t="shared" si="8"/>
        <v>407.5</v>
      </c>
      <c r="G92" s="135">
        <f t="shared" si="9"/>
        <v>15501.4</v>
      </c>
    </row>
    <row r="93" ht="14.25" customHeight="1">
      <c r="A93" s="131">
        <v>23.0</v>
      </c>
      <c r="B93" s="132">
        <v>46750.0</v>
      </c>
      <c r="C93" s="146"/>
      <c r="D93" s="135">
        <f t="shared" si="6"/>
        <v>155</v>
      </c>
      <c r="E93" s="135">
        <f t="shared" si="7"/>
        <v>250</v>
      </c>
      <c r="F93" s="133">
        <f t="shared" si="8"/>
        <v>405</v>
      </c>
      <c r="G93" s="135">
        <f t="shared" si="9"/>
        <v>15251.4</v>
      </c>
    </row>
    <row r="94" ht="14.25" customHeight="1">
      <c r="A94" s="131">
        <v>24.0</v>
      </c>
      <c r="B94" s="132">
        <v>46781.0</v>
      </c>
      <c r="C94" s="146"/>
      <c r="D94" s="135">
        <f t="shared" si="6"/>
        <v>152.5</v>
      </c>
      <c r="E94" s="135">
        <f t="shared" si="7"/>
        <v>250</v>
      </c>
      <c r="F94" s="133">
        <f t="shared" si="8"/>
        <v>402.5</v>
      </c>
      <c r="G94" s="135">
        <f t="shared" si="9"/>
        <v>15001.4</v>
      </c>
    </row>
    <row r="95" ht="14.25" customHeight="1">
      <c r="A95" s="131">
        <v>25.0</v>
      </c>
      <c r="B95" s="132">
        <v>46812.0</v>
      </c>
      <c r="C95" s="146"/>
      <c r="D95" s="135">
        <f t="shared" si="6"/>
        <v>150</v>
      </c>
      <c r="E95" s="135">
        <f t="shared" si="7"/>
        <v>250</v>
      </c>
      <c r="F95" s="133">
        <f t="shared" si="8"/>
        <v>400</v>
      </c>
      <c r="G95" s="135">
        <f t="shared" si="9"/>
        <v>14751.4</v>
      </c>
    </row>
    <row r="96" ht="14.25" customHeight="1">
      <c r="A96" s="131">
        <v>26.0</v>
      </c>
      <c r="B96" s="132">
        <v>46841.0</v>
      </c>
      <c r="C96" s="146"/>
      <c r="D96" s="135">
        <f t="shared" si="6"/>
        <v>147.5</v>
      </c>
      <c r="E96" s="135">
        <f t="shared" si="7"/>
        <v>250</v>
      </c>
      <c r="F96" s="133">
        <f t="shared" si="8"/>
        <v>397.5</v>
      </c>
      <c r="G96" s="135">
        <f t="shared" si="9"/>
        <v>14501.4</v>
      </c>
    </row>
    <row r="97" ht="14.25" customHeight="1">
      <c r="A97" s="131">
        <v>27.0</v>
      </c>
      <c r="B97" s="132">
        <v>46872.0</v>
      </c>
      <c r="C97" s="146"/>
      <c r="D97" s="135">
        <f t="shared" si="6"/>
        <v>145</v>
      </c>
      <c r="E97" s="135">
        <f t="shared" si="7"/>
        <v>250</v>
      </c>
      <c r="F97" s="133">
        <f t="shared" si="8"/>
        <v>395</v>
      </c>
      <c r="G97" s="135">
        <f t="shared" si="9"/>
        <v>14251.4</v>
      </c>
    </row>
    <row r="98" ht="14.25" customHeight="1">
      <c r="A98" s="131">
        <v>28.0</v>
      </c>
      <c r="B98" s="132">
        <v>46902.0</v>
      </c>
      <c r="C98" s="146"/>
      <c r="D98" s="135">
        <f t="shared" si="6"/>
        <v>142.5</v>
      </c>
      <c r="E98" s="135">
        <f t="shared" si="7"/>
        <v>250</v>
      </c>
      <c r="F98" s="133">
        <f t="shared" si="8"/>
        <v>392.5</v>
      </c>
      <c r="G98" s="135">
        <f t="shared" si="9"/>
        <v>14001.4</v>
      </c>
    </row>
    <row r="99" ht="14.25" customHeight="1">
      <c r="A99" s="131">
        <v>29.0</v>
      </c>
      <c r="B99" s="132">
        <v>46933.0</v>
      </c>
      <c r="C99" s="146"/>
      <c r="D99" s="135">
        <f t="shared" si="6"/>
        <v>140</v>
      </c>
      <c r="E99" s="135">
        <f t="shared" si="7"/>
        <v>250</v>
      </c>
      <c r="F99" s="133">
        <f t="shared" si="8"/>
        <v>390</v>
      </c>
      <c r="G99" s="135">
        <f t="shared" si="9"/>
        <v>13751.4</v>
      </c>
    </row>
    <row r="100" ht="14.25" customHeight="1">
      <c r="A100" s="131">
        <v>30.0</v>
      </c>
      <c r="B100" s="132">
        <v>46963.0</v>
      </c>
      <c r="C100" s="146"/>
      <c r="D100" s="135">
        <f t="shared" si="6"/>
        <v>137.5</v>
      </c>
      <c r="E100" s="135">
        <f t="shared" si="7"/>
        <v>250</v>
      </c>
      <c r="F100" s="133">
        <f t="shared" si="8"/>
        <v>387.5</v>
      </c>
      <c r="G100" s="135">
        <f t="shared" si="9"/>
        <v>13501.4</v>
      </c>
    </row>
    <row r="101" ht="14.25" customHeight="1">
      <c r="A101" s="131">
        <v>31.0</v>
      </c>
      <c r="B101" s="132">
        <v>46994.0</v>
      </c>
      <c r="C101" s="146"/>
      <c r="D101" s="135">
        <f t="shared" si="6"/>
        <v>135</v>
      </c>
      <c r="E101" s="135">
        <f t="shared" si="7"/>
        <v>250</v>
      </c>
      <c r="F101" s="133">
        <f t="shared" si="8"/>
        <v>385</v>
      </c>
      <c r="G101" s="135">
        <f t="shared" si="9"/>
        <v>13251.4</v>
      </c>
    </row>
    <row r="102" ht="14.25" customHeight="1">
      <c r="A102" s="131">
        <v>32.0</v>
      </c>
      <c r="B102" s="132">
        <v>47025.0</v>
      </c>
      <c r="C102" s="146"/>
      <c r="D102" s="135">
        <f t="shared" si="6"/>
        <v>132.5</v>
      </c>
      <c r="E102" s="135">
        <f t="shared" si="7"/>
        <v>250</v>
      </c>
      <c r="F102" s="133">
        <f t="shared" si="8"/>
        <v>382.5</v>
      </c>
      <c r="G102" s="135">
        <f t="shared" si="9"/>
        <v>13001.4</v>
      </c>
    </row>
    <row r="103" ht="14.25" customHeight="1">
      <c r="A103" s="131">
        <v>33.0</v>
      </c>
      <c r="B103" s="132">
        <v>47055.0</v>
      </c>
      <c r="C103" s="146"/>
      <c r="D103" s="135">
        <f t="shared" si="6"/>
        <v>130</v>
      </c>
      <c r="E103" s="135">
        <f t="shared" si="7"/>
        <v>250</v>
      </c>
      <c r="F103" s="133">
        <f t="shared" si="8"/>
        <v>380</v>
      </c>
      <c r="G103" s="135">
        <f t="shared" si="9"/>
        <v>12751.4</v>
      </c>
    </row>
    <row r="104" ht="14.25" customHeight="1">
      <c r="A104" s="131">
        <v>34.0</v>
      </c>
      <c r="B104" s="132">
        <v>47086.0</v>
      </c>
      <c r="C104" s="146"/>
      <c r="D104" s="135">
        <f t="shared" si="6"/>
        <v>127.5</v>
      </c>
      <c r="E104" s="135">
        <f t="shared" si="7"/>
        <v>250</v>
      </c>
      <c r="F104" s="133">
        <f t="shared" si="8"/>
        <v>377.5</v>
      </c>
      <c r="G104" s="135">
        <f t="shared" si="9"/>
        <v>12501.4</v>
      </c>
    </row>
    <row r="105" ht="14.25" customHeight="1">
      <c r="A105" s="131">
        <v>35.0</v>
      </c>
      <c r="B105" s="132">
        <v>47116.0</v>
      </c>
      <c r="C105" s="146"/>
      <c r="D105" s="135">
        <f t="shared" si="6"/>
        <v>125</v>
      </c>
      <c r="E105" s="135">
        <f t="shared" si="7"/>
        <v>250</v>
      </c>
      <c r="F105" s="133">
        <f t="shared" si="8"/>
        <v>375</v>
      </c>
      <c r="G105" s="135">
        <f t="shared" si="9"/>
        <v>12251.4</v>
      </c>
    </row>
    <row r="106" ht="14.25" customHeight="1">
      <c r="A106" s="131">
        <v>36.0</v>
      </c>
      <c r="B106" s="132">
        <v>47147.0</v>
      </c>
      <c r="C106" s="146"/>
      <c r="D106" s="135">
        <f t="shared" si="6"/>
        <v>122.5</v>
      </c>
      <c r="E106" s="135">
        <f t="shared" si="7"/>
        <v>250</v>
      </c>
      <c r="F106" s="133">
        <f t="shared" si="8"/>
        <v>372.5</v>
      </c>
      <c r="G106" s="135">
        <f t="shared" si="9"/>
        <v>12001.4</v>
      </c>
    </row>
    <row r="107" ht="14.25" customHeight="1">
      <c r="A107" s="131">
        <v>37.0</v>
      </c>
      <c r="B107" s="132">
        <v>47177.0</v>
      </c>
      <c r="C107" s="146"/>
      <c r="D107" s="135">
        <f t="shared" si="6"/>
        <v>120</v>
      </c>
      <c r="E107" s="135">
        <f t="shared" si="7"/>
        <v>250</v>
      </c>
      <c r="F107" s="133">
        <f t="shared" si="8"/>
        <v>370</v>
      </c>
      <c r="G107" s="135">
        <f t="shared" si="9"/>
        <v>11751.4</v>
      </c>
    </row>
    <row r="108" ht="14.25" customHeight="1">
      <c r="A108" s="131">
        <v>38.0</v>
      </c>
      <c r="B108" s="132">
        <v>47206.0</v>
      </c>
      <c r="C108" s="146"/>
      <c r="D108" s="135">
        <f t="shared" si="6"/>
        <v>117.5</v>
      </c>
      <c r="E108" s="135">
        <f t="shared" si="7"/>
        <v>250</v>
      </c>
      <c r="F108" s="133">
        <f t="shared" si="8"/>
        <v>367.5</v>
      </c>
      <c r="G108" s="135">
        <f t="shared" si="9"/>
        <v>11501.4</v>
      </c>
    </row>
    <row r="109" ht="14.25" customHeight="1">
      <c r="A109" s="131">
        <v>39.0</v>
      </c>
      <c r="B109" s="132">
        <v>47237.0</v>
      </c>
      <c r="C109" s="146"/>
      <c r="D109" s="135">
        <f t="shared" si="6"/>
        <v>115</v>
      </c>
      <c r="E109" s="135">
        <f t="shared" si="7"/>
        <v>250</v>
      </c>
      <c r="F109" s="133">
        <f t="shared" si="8"/>
        <v>365</v>
      </c>
      <c r="G109" s="135">
        <f t="shared" si="9"/>
        <v>11251.4</v>
      </c>
    </row>
    <row r="110" ht="14.25" customHeight="1">
      <c r="A110" s="131">
        <v>40.0</v>
      </c>
      <c r="B110" s="132">
        <v>47267.0</v>
      </c>
      <c r="C110" s="146"/>
      <c r="D110" s="135">
        <f t="shared" si="6"/>
        <v>112.5</v>
      </c>
      <c r="E110" s="135">
        <f t="shared" si="7"/>
        <v>250</v>
      </c>
      <c r="F110" s="133">
        <f t="shared" si="8"/>
        <v>362.5</v>
      </c>
      <c r="G110" s="135">
        <f t="shared" si="9"/>
        <v>11001.4</v>
      </c>
    </row>
    <row r="111" ht="14.25" customHeight="1">
      <c r="A111" s="131">
        <v>41.0</v>
      </c>
      <c r="B111" s="132">
        <v>47298.0</v>
      </c>
      <c r="C111" s="146"/>
      <c r="D111" s="135">
        <f t="shared" si="6"/>
        <v>110</v>
      </c>
      <c r="E111" s="135">
        <f t="shared" si="7"/>
        <v>250</v>
      </c>
      <c r="F111" s="133">
        <f t="shared" si="8"/>
        <v>360</v>
      </c>
      <c r="G111" s="135">
        <f t="shared" si="9"/>
        <v>10751.4</v>
      </c>
    </row>
    <row r="112" ht="14.25" customHeight="1">
      <c r="A112" s="131">
        <v>42.0</v>
      </c>
      <c r="B112" s="132">
        <v>47328.0</v>
      </c>
      <c r="C112" s="146"/>
      <c r="D112" s="135">
        <f t="shared" si="6"/>
        <v>107.5</v>
      </c>
      <c r="E112" s="135">
        <f t="shared" si="7"/>
        <v>250</v>
      </c>
      <c r="F112" s="133">
        <f t="shared" si="8"/>
        <v>357.5</v>
      </c>
      <c r="G112" s="135">
        <f t="shared" si="9"/>
        <v>10501.4</v>
      </c>
    </row>
    <row r="113" ht="14.25" customHeight="1">
      <c r="A113" s="131">
        <v>43.0</v>
      </c>
      <c r="B113" s="132">
        <v>47359.0</v>
      </c>
      <c r="C113" s="146"/>
      <c r="D113" s="135">
        <f t="shared" si="6"/>
        <v>105</v>
      </c>
      <c r="E113" s="135">
        <f t="shared" si="7"/>
        <v>250</v>
      </c>
      <c r="F113" s="133">
        <f t="shared" si="8"/>
        <v>355</v>
      </c>
      <c r="G113" s="135">
        <f t="shared" si="9"/>
        <v>10251.4</v>
      </c>
    </row>
    <row r="114" ht="14.25" customHeight="1">
      <c r="A114" s="131">
        <v>44.0</v>
      </c>
      <c r="B114" s="132">
        <v>47390.0</v>
      </c>
      <c r="C114" s="146"/>
      <c r="D114" s="135">
        <f t="shared" si="6"/>
        <v>102.5</v>
      </c>
      <c r="E114" s="135">
        <f t="shared" si="7"/>
        <v>250</v>
      </c>
      <c r="F114" s="133">
        <f t="shared" si="8"/>
        <v>352.5</v>
      </c>
      <c r="G114" s="135">
        <f t="shared" si="9"/>
        <v>10001.4</v>
      </c>
    </row>
    <row r="115" ht="14.25" customHeight="1">
      <c r="A115" s="131">
        <v>45.0</v>
      </c>
      <c r="B115" s="132">
        <v>47420.0</v>
      </c>
      <c r="C115" s="146"/>
      <c r="D115" s="135">
        <f t="shared" si="6"/>
        <v>100</v>
      </c>
      <c r="E115" s="135">
        <f t="shared" si="7"/>
        <v>250</v>
      </c>
      <c r="F115" s="133">
        <f t="shared" si="8"/>
        <v>350</v>
      </c>
      <c r="G115" s="135">
        <f t="shared" si="9"/>
        <v>9751.4</v>
      </c>
    </row>
    <row r="116" ht="14.25" customHeight="1">
      <c r="A116" s="131">
        <v>46.0</v>
      </c>
      <c r="B116" s="132">
        <v>47451.0</v>
      </c>
      <c r="C116" s="146"/>
      <c r="D116" s="135">
        <f t="shared" si="6"/>
        <v>97.5</v>
      </c>
      <c r="E116" s="135">
        <f t="shared" si="7"/>
        <v>250</v>
      </c>
      <c r="F116" s="133">
        <f t="shared" si="8"/>
        <v>347.5</v>
      </c>
      <c r="G116" s="135">
        <f t="shared" si="9"/>
        <v>9501.4</v>
      </c>
    </row>
    <row r="117" ht="14.25" customHeight="1">
      <c r="A117" s="131">
        <v>47.0</v>
      </c>
      <c r="B117" s="132">
        <v>47481.0</v>
      </c>
      <c r="C117" s="146"/>
      <c r="D117" s="135">
        <f t="shared" si="6"/>
        <v>95</v>
      </c>
      <c r="E117" s="135">
        <f t="shared" si="7"/>
        <v>250</v>
      </c>
      <c r="F117" s="133">
        <f t="shared" si="8"/>
        <v>345</v>
      </c>
      <c r="G117" s="135">
        <f t="shared" si="9"/>
        <v>9251.4</v>
      </c>
    </row>
    <row r="118" ht="14.25" customHeight="1">
      <c r="A118" s="131">
        <v>48.0</v>
      </c>
      <c r="B118" s="132">
        <v>47512.0</v>
      </c>
      <c r="C118" s="146"/>
      <c r="D118" s="135">
        <f t="shared" si="6"/>
        <v>92.5</v>
      </c>
      <c r="E118" s="135">
        <f t="shared" si="7"/>
        <v>250</v>
      </c>
      <c r="F118" s="133">
        <f t="shared" si="8"/>
        <v>342.5</v>
      </c>
      <c r="G118" s="135">
        <f t="shared" si="9"/>
        <v>9001.4</v>
      </c>
    </row>
    <row r="119" ht="14.25" customHeight="1">
      <c r="A119" s="131">
        <v>49.0</v>
      </c>
      <c r="B119" s="132">
        <v>47542.0</v>
      </c>
      <c r="C119" s="146"/>
      <c r="D119" s="135">
        <f t="shared" si="6"/>
        <v>90</v>
      </c>
      <c r="E119" s="135">
        <f t="shared" si="7"/>
        <v>250</v>
      </c>
      <c r="F119" s="133">
        <f t="shared" si="8"/>
        <v>340</v>
      </c>
      <c r="G119" s="135">
        <f t="shared" si="9"/>
        <v>8751.4</v>
      </c>
    </row>
    <row r="120" ht="14.25" customHeight="1">
      <c r="A120" s="131">
        <v>50.0</v>
      </c>
      <c r="B120" s="132">
        <v>47571.0</v>
      </c>
      <c r="C120" s="146"/>
      <c r="D120" s="135">
        <f t="shared" si="6"/>
        <v>87.5</v>
      </c>
      <c r="E120" s="135">
        <f t="shared" si="7"/>
        <v>250</v>
      </c>
      <c r="F120" s="133">
        <f t="shared" si="8"/>
        <v>337.5</v>
      </c>
      <c r="G120" s="135">
        <f t="shared" si="9"/>
        <v>8501.4</v>
      </c>
    </row>
    <row r="121" ht="14.25" customHeight="1">
      <c r="A121" s="131">
        <v>51.0</v>
      </c>
      <c r="B121" s="132">
        <v>47602.0</v>
      </c>
      <c r="C121" s="146"/>
      <c r="D121" s="135">
        <f t="shared" si="6"/>
        <v>85</v>
      </c>
      <c r="E121" s="135">
        <f t="shared" si="7"/>
        <v>250</v>
      </c>
      <c r="F121" s="133">
        <f t="shared" si="8"/>
        <v>335</v>
      </c>
      <c r="G121" s="135">
        <f t="shared" si="9"/>
        <v>8251.4</v>
      </c>
    </row>
    <row r="122" ht="14.25" customHeight="1">
      <c r="A122" s="131">
        <v>52.0</v>
      </c>
      <c r="B122" s="132">
        <v>47632.0</v>
      </c>
      <c r="C122" s="146"/>
      <c r="D122" s="135">
        <f t="shared" si="6"/>
        <v>82.5</v>
      </c>
      <c r="E122" s="135">
        <f t="shared" si="7"/>
        <v>250</v>
      </c>
      <c r="F122" s="133">
        <f t="shared" si="8"/>
        <v>332.5</v>
      </c>
      <c r="G122" s="135">
        <f t="shared" si="9"/>
        <v>8001.4</v>
      </c>
    </row>
    <row r="123" ht="14.25" customHeight="1">
      <c r="A123" s="131">
        <v>53.0</v>
      </c>
      <c r="B123" s="132">
        <v>47663.0</v>
      </c>
      <c r="C123" s="146"/>
      <c r="D123" s="135">
        <f t="shared" si="6"/>
        <v>80</v>
      </c>
      <c r="E123" s="135">
        <f t="shared" si="7"/>
        <v>250</v>
      </c>
      <c r="F123" s="133">
        <f t="shared" si="8"/>
        <v>330</v>
      </c>
      <c r="G123" s="135">
        <f t="shared" si="9"/>
        <v>7751.4</v>
      </c>
    </row>
    <row r="124" ht="14.25" customHeight="1">
      <c r="A124" s="131">
        <v>54.0</v>
      </c>
      <c r="B124" s="132">
        <v>47693.0</v>
      </c>
      <c r="C124" s="146"/>
      <c r="D124" s="135">
        <f t="shared" si="6"/>
        <v>77.5</v>
      </c>
      <c r="E124" s="135">
        <f t="shared" si="7"/>
        <v>250</v>
      </c>
      <c r="F124" s="133">
        <f t="shared" si="8"/>
        <v>327.5</v>
      </c>
      <c r="G124" s="135">
        <f t="shared" si="9"/>
        <v>7501.4</v>
      </c>
    </row>
    <row r="125" ht="14.25" customHeight="1">
      <c r="A125" s="131">
        <v>55.0</v>
      </c>
      <c r="B125" s="132">
        <v>47724.0</v>
      </c>
      <c r="C125" s="146"/>
      <c r="D125" s="135">
        <f t="shared" si="6"/>
        <v>75</v>
      </c>
      <c r="E125" s="135">
        <f t="shared" si="7"/>
        <v>250</v>
      </c>
      <c r="F125" s="133">
        <f t="shared" si="8"/>
        <v>325</v>
      </c>
      <c r="G125" s="135">
        <f t="shared" si="9"/>
        <v>7251.4</v>
      </c>
    </row>
    <row r="126" ht="14.25" customHeight="1">
      <c r="A126" s="131">
        <v>56.0</v>
      </c>
      <c r="B126" s="132">
        <v>47755.0</v>
      </c>
      <c r="C126" s="146"/>
      <c r="D126" s="135">
        <f t="shared" si="6"/>
        <v>72.5</v>
      </c>
      <c r="E126" s="135">
        <f t="shared" si="7"/>
        <v>250</v>
      </c>
      <c r="F126" s="133">
        <f t="shared" si="8"/>
        <v>322.5</v>
      </c>
      <c r="G126" s="135">
        <f t="shared" si="9"/>
        <v>7001.4</v>
      </c>
    </row>
    <row r="127" ht="14.25" customHeight="1">
      <c r="A127" s="131">
        <v>57.0</v>
      </c>
      <c r="B127" s="132">
        <v>47785.0</v>
      </c>
      <c r="C127" s="146"/>
      <c r="D127" s="135">
        <f t="shared" si="6"/>
        <v>70</v>
      </c>
      <c r="E127" s="135">
        <f t="shared" si="7"/>
        <v>250</v>
      </c>
      <c r="F127" s="133">
        <f t="shared" si="8"/>
        <v>320</v>
      </c>
      <c r="G127" s="135">
        <f t="shared" si="9"/>
        <v>6751.4</v>
      </c>
    </row>
    <row r="128" ht="14.25" customHeight="1">
      <c r="A128" s="131">
        <v>58.0</v>
      </c>
      <c r="B128" s="132">
        <v>47816.0</v>
      </c>
      <c r="C128" s="146"/>
      <c r="D128" s="135">
        <f t="shared" si="6"/>
        <v>67.5</v>
      </c>
      <c r="E128" s="135">
        <f t="shared" si="7"/>
        <v>250</v>
      </c>
      <c r="F128" s="133">
        <f t="shared" si="8"/>
        <v>317.5</v>
      </c>
      <c r="G128" s="135">
        <f t="shared" si="9"/>
        <v>6501.4</v>
      </c>
    </row>
    <row r="129" ht="14.25" customHeight="1">
      <c r="A129" s="131">
        <v>59.0</v>
      </c>
      <c r="B129" s="132">
        <v>47846.0</v>
      </c>
      <c r="C129" s="146"/>
      <c r="D129" s="135">
        <f t="shared" si="6"/>
        <v>65</v>
      </c>
      <c r="E129" s="135">
        <f t="shared" si="7"/>
        <v>250</v>
      </c>
      <c r="F129" s="133">
        <f t="shared" si="8"/>
        <v>315</v>
      </c>
      <c r="G129" s="135">
        <f t="shared" si="9"/>
        <v>6251.4</v>
      </c>
    </row>
    <row r="130" ht="14.25" customHeight="1">
      <c r="A130" s="131">
        <v>60.0</v>
      </c>
      <c r="B130" s="132">
        <v>47877.0</v>
      </c>
      <c r="C130" s="146"/>
      <c r="D130" s="135">
        <f t="shared" si="6"/>
        <v>62.5</v>
      </c>
      <c r="E130" s="135">
        <f t="shared" si="7"/>
        <v>250</v>
      </c>
      <c r="F130" s="133">
        <f t="shared" si="8"/>
        <v>312.5</v>
      </c>
      <c r="G130" s="135">
        <f t="shared" si="9"/>
        <v>6001.4</v>
      </c>
    </row>
    <row r="131" ht="14.25" customHeight="1">
      <c r="A131" s="131">
        <v>61.0</v>
      </c>
      <c r="B131" s="132">
        <v>47907.0</v>
      </c>
      <c r="C131" s="146"/>
      <c r="D131" s="135">
        <f t="shared" si="6"/>
        <v>60</v>
      </c>
      <c r="E131" s="135">
        <f t="shared" si="7"/>
        <v>250</v>
      </c>
      <c r="F131" s="133">
        <f t="shared" si="8"/>
        <v>310</v>
      </c>
      <c r="G131" s="135">
        <f t="shared" si="9"/>
        <v>5751.4</v>
      </c>
    </row>
    <row r="132" ht="14.25" customHeight="1">
      <c r="A132" s="131">
        <v>62.0</v>
      </c>
      <c r="B132" s="132">
        <v>47936.0</v>
      </c>
      <c r="C132" s="146"/>
      <c r="D132" s="135">
        <f t="shared" si="6"/>
        <v>57.5</v>
      </c>
      <c r="E132" s="135">
        <f t="shared" si="7"/>
        <v>250</v>
      </c>
      <c r="F132" s="133">
        <f t="shared" si="8"/>
        <v>307.5</v>
      </c>
      <c r="G132" s="135">
        <f t="shared" si="9"/>
        <v>5501.4</v>
      </c>
    </row>
    <row r="133" ht="14.25" customHeight="1">
      <c r="A133" s="131">
        <v>63.0</v>
      </c>
      <c r="B133" s="132">
        <v>47967.0</v>
      </c>
      <c r="C133" s="146"/>
      <c r="D133" s="135">
        <f t="shared" si="6"/>
        <v>55</v>
      </c>
      <c r="E133" s="135">
        <f t="shared" si="7"/>
        <v>250</v>
      </c>
      <c r="F133" s="133">
        <f t="shared" si="8"/>
        <v>305</v>
      </c>
      <c r="G133" s="135">
        <f t="shared" si="9"/>
        <v>5251.4</v>
      </c>
    </row>
    <row r="134" ht="14.25" customHeight="1">
      <c r="A134" s="131">
        <v>64.0</v>
      </c>
      <c r="B134" s="132">
        <v>47997.0</v>
      </c>
      <c r="C134" s="146"/>
      <c r="D134" s="135">
        <f t="shared" si="6"/>
        <v>52.5</v>
      </c>
      <c r="E134" s="135">
        <f t="shared" si="7"/>
        <v>250</v>
      </c>
      <c r="F134" s="133">
        <f t="shared" si="8"/>
        <v>302.5</v>
      </c>
      <c r="G134" s="135">
        <f t="shared" si="9"/>
        <v>5001.4</v>
      </c>
    </row>
    <row r="135" ht="14.25" customHeight="1">
      <c r="A135" s="131">
        <v>65.0</v>
      </c>
      <c r="B135" s="132">
        <v>48028.0</v>
      </c>
      <c r="C135" s="146"/>
      <c r="D135" s="135">
        <f t="shared" si="6"/>
        <v>50</v>
      </c>
      <c r="E135" s="135">
        <f t="shared" si="7"/>
        <v>250</v>
      </c>
      <c r="F135" s="133">
        <f t="shared" si="8"/>
        <v>300</v>
      </c>
      <c r="G135" s="135">
        <f t="shared" si="9"/>
        <v>4751.4</v>
      </c>
    </row>
    <row r="136" ht="14.25" customHeight="1">
      <c r="A136" s="131">
        <v>66.0</v>
      </c>
      <c r="B136" s="132">
        <v>48058.0</v>
      </c>
      <c r="C136" s="146"/>
      <c r="D136" s="135">
        <f t="shared" si="6"/>
        <v>47.5</v>
      </c>
      <c r="E136" s="135">
        <f t="shared" si="7"/>
        <v>250</v>
      </c>
      <c r="F136" s="133">
        <f t="shared" si="8"/>
        <v>297.5</v>
      </c>
      <c r="G136" s="135">
        <f t="shared" si="9"/>
        <v>4501.4</v>
      </c>
    </row>
    <row r="137" ht="14.25" customHeight="1">
      <c r="A137" s="131">
        <v>67.0</v>
      </c>
      <c r="B137" s="132">
        <v>48089.0</v>
      </c>
      <c r="C137" s="146"/>
      <c r="D137" s="135">
        <f t="shared" si="6"/>
        <v>45</v>
      </c>
      <c r="E137" s="135">
        <f t="shared" si="7"/>
        <v>250</v>
      </c>
      <c r="F137" s="133">
        <f t="shared" si="8"/>
        <v>295</v>
      </c>
      <c r="G137" s="135">
        <f t="shared" si="9"/>
        <v>4251.4</v>
      </c>
    </row>
    <row r="138" ht="14.25" customHeight="1">
      <c r="A138" s="131">
        <v>68.0</v>
      </c>
      <c r="B138" s="132">
        <v>48120.0</v>
      </c>
      <c r="C138" s="146"/>
      <c r="D138" s="135">
        <f t="shared" si="6"/>
        <v>42.5</v>
      </c>
      <c r="E138" s="135">
        <f t="shared" si="7"/>
        <v>250</v>
      </c>
      <c r="F138" s="133">
        <f t="shared" si="8"/>
        <v>292.5</v>
      </c>
      <c r="G138" s="135">
        <f t="shared" si="9"/>
        <v>4001.4</v>
      </c>
    </row>
    <row r="139" ht="14.25" customHeight="1">
      <c r="A139" s="131">
        <v>69.0</v>
      </c>
      <c r="B139" s="132">
        <v>48150.0</v>
      </c>
      <c r="C139" s="146"/>
      <c r="D139" s="135">
        <f t="shared" si="6"/>
        <v>40</v>
      </c>
      <c r="E139" s="135">
        <f t="shared" si="7"/>
        <v>250</v>
      </c>
      <c r="F139" s="133">
        <f t="shared" si="8"/>
        <v>290</v>
      </c>
      <c r="G139" s="135">
        <f t="shared" si="9"/>
        <v>3751.4</v>
      </c>
    </row>
    <row r="140" ht="14.25" customHeight="1">
      <c r="A140" s="131">
        <v>70.0</v>
      </c>
      <c r="B140" s="132">
        <v>48181.0</v>
      </c>
      <c r="C140" s="146"/>
      <c r="D140" s="135">
        <f t="shared" si="6"/>
        <v>37.5</v>
      </c>
      <c r="E140" s="135">
        <f t="shared" si="7"/>
        <v>250</v>
      </c>
      <c r="F140" s="133">
        <f t="shared" si="8"/>
        <v>287.5</v>
      </c>
      <c r="G140" s="135">
        <f t="shared" si="9"/>
        <v>3501.4</v>
      </c>
    </row>
    <row r="141" ht="14.25" customHeight="1">
      <c r="A141" s="131">
        <v>71.0</v>
      </c>
      <c r="B141" s="132">
        <v>48211.0</v>
      </c>
      <c r="C141" s="146"/>
      <c r="D141" s="135">
        <f t="shared" si="6"/>
        <v>35</v>
      </c>
      <c r="E141" s="135">
        <f t="shared" si="7"/>
        <v>250</v>
      </c>
      <c r="F141" s="133">
        <f t="shared" si="8"/>
        <v>285</v>
      </c>
      <c r="G141" s="135">
        <f t="shared" si="9"/>
        <v>3251.4</v>
      </c>
    </row>
    <row r="142" ht="14.25" customHeight="1">
      <c r="A142" s="131">
        <v>72.0</v>
      </c>
      <c r="B142" s="132">
        <v>48242.0</v>
      </c>
      <c r="C142" s="146"/>
      <c r="D142" s="135">
        <f t="shared" si="6"/>
        <v>32.5</v>
      </c>
      <c r="E142" s="135">
        <f t="shared" si="7"/>
        <v>250</v>
      </c>
      <c r="F142" s="133">
        <f t="shared" si="8"/>
        <v>282.5</v>
      </c>
      <c r="G142" s="135">
        <f t="shared" si="9"/>
        <v>3001.4</v>
      </c>
    </row>
    <row r="143" ht="14.25" customHeight="1">
      <c r="A143" s="131">
        <v>73.0</v>
      </c>
      <c r="B143" s="132">
        <v>48273.0</v>
      </c>
      <c r="C143" s="146"/>
      <c r="D143" s="135">
        <f t="shared" si="6"/>
        <v>30</v>
      </c>
      <c r="E143" s="135">
        <f t="shared" si="7"/>
        <v>250</v>
      </c>
      <c r="F143" s="133">
        <f t="shared" si="8"/>
        <v>280</v>
      </c>
      <c r="G143" s="135">
        <f t="shared" si="9"/>
        <v>2751.4</v>
      </c>
    </row>
    <row r="144" ht="14.25" customHeight="1">
      <c r="A144" s="131">
        <v>74.0</v>
      </c>
      <c r="B144" s="132">
        <v>48302.0</v>
      </c>
      <c r="C144" s="146"/>
      <c r="D144" s="135">
        <f t="shared" si="6"/>
        <v>27.5</v>
      </c>
      <c r="E144" s="135">
        <f t="shared" si="7"/>
        <v>250</v>
      </c>
      <c r="F144" s="133">
        <f t="shared" si="8"/>
        <v>277.5</v>
      </c>
      <c r="G144" s="135">
        <f t="shared" si="9"/>
        <v>2501.4</v>
      </c>
    </row>
    <row r="145" ht="14.25" customHeight="1">
      <c r="A145" s="131">
        <v>75.0</v>
      </c>
      <c r="B145" s="132">
        <v>48333.0</v>
      </c>
      <c r="C145" s="146"/>
      <c r="D145" s="135">
        <f t="shared" si="6"/>
        <v>25</v>
      </c>
      <c r="E145" s="135">
        <f t="shared" si="7"/>
        <v>250</v>
      </c>
      <c r="F145" s="133">
        <f t="shared" si="8"/>
        <v>275</v>
      </c>
      <c r="G145" s="135">
        <f t="shared" si="9"/>
        <v>2251.4</v>
      </c>
    </row>
    <row r="146" ht="14.25" customHeight="1">
      <c r="A146" s="131">
        <v>76.0</v>
      </c>
      <c r="B146" s="132">
        <v>48363.0</v>
      </c>
      <c r="C146" s="146"/>
      <c r="D146" s="135">
        <f t="shared" si="6"/>
        <v>22.5</v>
      </c>
      <c r="E146" s="135">
        <f t="shared" si="7"/>
        <v>250</v>
      </c>
      <c r="F146" s="133">
        <f t="shared" si="8"/>
        <v>272.5</v>
      </c>
      <c r="G146" s="135">
        <f t="shared" si="9"/>
        <v>2001.4</v>
      </c>
    </row>
    <row r="147" ht="14.25" customHeight="1">
      <c r="A147" s="131">
        <v>77.0</v>
      </c>
      <c r="B147" s="132">
        <v>48394.0</v>
      </c>
      <c r="C147" s="146"/>
      <c r="D147" s="135">
        <f t="shared" si="6"/>
        <v>20</v>
      </c>
      <c r="E147" s="135">
        <f t="shared" si="7"/>
        <v>250</v>
      </c>
      <c r="F147" s="133">
        <f t="shared" si="8"/>
        <v>270</v>
      </c>
      <c r="G147" s="135">
        <f t="shared" si="9"/>
        <v>1751.4</v>
      </c>
    </row>
    <row r="148" ht="14.25" customHeight="1">
      <c r="A148" s="131">
        <v>78.0</v>
      </c>
      <c r="B148" s="132">
        <v>48424.0</v>
      </c>
      <c r="C148" s="146"/>
      <c r="D148" s="135">
        <f t="shared" si="6"/>
        <v>17.5</v>
      </c>
      <c r="E148" s="135">
        <f t="shared" si="7"/>
        <v>250</v>
      </c>
      <c r="F148" s="133">
        <f t="shared" si="8"/>
        <v>267.5</v>
      </c>
      <c r="G148" s="135">
        <f t="shared" si="9"/>
        <v>1501.4</v>
      </c>
    </row>
    <row r="149" ht="14.25" customHeight="1">
      <c r="A149" s="131">
        <v>79.0</v>
      </c>
      <c r="B149" s="132">
        <v>48455.0</v>
      </c>
      <c r="C149" s="146"/>
      <c r="D149" s="135">
        <f t="shared" si="6"/>
        <v>15</v>
      </c>
      <c r="E149" s="135">
        <f t="shared" si="7"/>
        <v>250</v>
      </c>
      <c r="F149" s="133">
        <f t="shared" si="8"/>
        <v>265</v>
      </c>
      <c r="G149" s="135">
        <f t="shared" si="9"/>
        <v>1251.4</v>
      </c>
    </row>
    <row r="150" ht="14.25" customHeight="1">
      <c r="A150" s="131">
        <v>80.0</v>
      </c>
      <c r="B150" s="132">
        <v>48486.0</v>
      </c>
      <c r="C150" s="146"/>
      <c r="D150" s="135">
        <f t="shared" si="6"/>
        <v>12.5</v>
      </c>
      <c r="E150" s="135">
        <f t="shared" si="7"/>
        <v>250</v>
      </c>
      <c r="F150" s="133">
        <f t="shared" si="8"/>
        <v>262.5</v>
      </c>
      <c r="G150" s="135">
        <f t="shared" si="9"/>
        <v>1001.4</v>
      </c>
    </row>
    <row r="151" ht="14.25" customHeight="1">
      <c r="A151" s="131">
        <v>81.0</v>
      </c>
      <c r="B151" s="132">
        <v>48516.0</v>
      </c>
      <c r="C151" s="146"/>
      <c r="D151" s="135">
        <f t="shared" si="6"/>
        <v>10</v>
      </c>
      <c r="E151" s="135">
        <f t="shared" si="7"/>
        <v>250</v>
      </c>
      <c r="F151" s="133">
        <f t="shared" si="8"/>
        <v>260</v>
      </c>
      <c r="G151" s="135">
        <f t="shared" si="9"/>
        <v>751.4</v>
      </c>
    </row>
    <row r="152" ht="14.25" customHeight="1">
      <c r="A152" s="131">
        <v>82.0</v>
      </c>
      <c r="B152" s="132">
        <v>48547.0</v>
      </c>
      <c r="C152" s="146"/>
      <c r="D152" s="135">
        <f t="shared" si="6"/>
        <v>7.5</v>
      </c>
      <c r="E152" s="135">
        <f t="shared" si="7"/>
        <v>250</v>
      </c>
      <c r="F152" s="133">
        <f t="shared" si="8"/>
        <v>257.5</v>
      </c>
      <c r="G152" s="135">
        <f t="shared" si="9"/>
        <v>501.4</v>
      </c>
    </row>
    <row r="153" ht="14.25" customHeight="1">
      <c r="A153" s="131">
        <v>83.0</v>
      </c>
      <c r="B153" s="132">
        <v>48577.0</v>
      </c>
      <c r="C153" s="146"/>
      <c r="D153" s="135">
        <f t="shared" si="6"/>
        <v>5</v>
      </c>
      <c r="E153" s="135">
        <f t="shared" si="7"/>
        <v>250</v>
      </c>
      <c r="F153" s="133">
        <f t="shared" si="8"/>
        <v>255</v>
      </c>
      <c r="G153" s="135">
        <f t="shared" si="9"/>
        <v>251.4</v>
      </c>
    </row>
    <row r="154" ht="14.25" customHeight="1">
      <c r="A154" s="131">
        <v>84.0</v>
      </c>
      <c r="B154" s="132">
        <v>48608.0</v>
      </c>
      <c r="C154" s="146"/>
      <c r="D154" s="135">
        <f t="shared" si="6"/>
        <v>2.5</v>
      </c>
      <c r="E154" s="135">
        <f>ROUND($C$70/84,1)+1.4</f>
        <v>251.4</v>
      </c>
      <c r="F154" s="133">
        <f t="shared" si="8"/>
        <v>253.9</v>
      </c>
      <c r="G154" s="135">
        <f t="shared" si="9"/>
        <v>0</v>
      </c>
    </row>
    <row r="155" ht="14.25" customHeight="1">
      <c r="A155" s="129" t="s">
        <v>252</v>
      </c>
      <c r="B155" s="2"/>
      <c r="C155" s="3"/>
      <c r="D155" s="147">
        <f t="shared" ref="D155:F155" si="10">+SUM(D71:D154)</f>
        <v>8925</v>
      </c>
      <c r="E155" s="147">
        <f t="shared" si="10"/>
        <v>21001.4</v>
      </c>
      <c r="F155" s="147">
        <f t="shared" si="10"/>
        <v>29926.4</v>
      </c>
      <c r="G155" s="148"/>
    </row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G1"/>
    <mergeCell ref="A2:G2"/>
    <mergeCell ref="A65:C65"/>
    <mergeCell ref="A67:G67"/>
    <mergeCell ref="A68:G68"/>
    <mergeCell ref="A155:C155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372</v>
      </c>
      <c r="B1" s="2"/>
      <c r="C1" s="2"/>
      <c r="D1" s="2"/>
      <c r="E1" s="2"/>
      <c r="F1" s="2"/>
      <c r="G1" s="3"/>
    </row>
    <row r="2" ht="14.25" customHeight="1">
      <c r="A2" s="129" t="s">
        <v>348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45533.0</v>
      </c>
      <c r="C4" s="133">
        <f>+J7</f>
        <v>14956.1</v>
      </c>
      <c r="D4" s="134">
        <v>0.01</v>
      </c>
      <c r="E4" s="135"/>
      <c r="F4" s="135"/>
      <c r="G4" s="135">
        <f>+C4</f>
        <v>14956.1</v>
      </c>
    </row>
    <row r="5" ht="14.25" customHeight="1">
      <c r="A5" s="136">
        <v>1.0</v>
      </c>
      <c r="B5" s="137">
        <v>45564.0</v>
      </c>
      <c r="C5" s="138"/>
      <c r="D5" s="138">
        <f t="shared" ref="D5:D52" si="1">+ROUND(G4*0.01,1)</f>
        <v>149.6</v>
      </c>
      <c r="E5" s="138">
        <f t="shared" ref="E5:E52" si="2">ROUNDUP($C$4/48,1)</f>
        <v>311.6</v>
      </c>
      <c r="F5" s="139">
        <f t="shared" ref="F5:F52" si="3">+ROUND(D5+E5,1)</f>
        <v>461.2</v>
      </c>
      <c r="G5" s="138">
        <f t="shared" ref="G5:G52" si="4">+ROUND(G4-E5,1)</f>
        <v>14644.5</v>
      </c>
      <c r="I5" s="140" t="s">
        <v>209</v>
      </c>
      <c r="J5" s="141">
        <v>3170.099999999993</v>
      </c>
    </row>
    <row r="6" ht="14.25" customHeight="1">
      <c r="A6" s="136">
        <v>2.0</v>
      </c>
      <c r="B6" s="137">
        <v>45594.0</v>
      </c>
      <c r="C6" s="144"/>
      <c r="D6" s="138">
        <f t="shared" si="1"/>
        <v>146.4</v>
      </c>
      <c r="E6" s="138">
        <f t="shared" si="2"/>
        <v>311.6</v>
      </c>
      <c r="F6" s="139">
        <f t="shared" si="3"/>
        <v>458</v>
      </c>
      <c r="G6" s="138">
        <f t="shared" si="4"/>
        <v>14332.9</v>
      </c>
      <c r="I6" s="140" t="s">
        <v>331</v>
      </c>
      <c r="J6" s="141">
        <v>11786.0</v>
      </c>
    </row>
    <row r="7" ht="14.25" customHeight="1">
      <c r="A7" s="136">
        <v>3.0</v>
      </c>
      <c r="B7" s="137">
        <v>45625.0</v>
      </c>
      <c r="C7" s="144"/>
      <c r="D7" s="138">
        <f t="shared" si="1"/>
        <v>143.3</v>
      </c>
      <c r="E7" s="138">
        <f t="shared" si="2"/>
        <v>311.6</v>
      </c>
      <c r="F7" s="139">
        <f t="shared" si="3"/>
        <v>454.9</v>
      </c>
      <c r="G7" s="138">
        <f t="shared" si="4"/>
        <v>14021.3</v>
      </c>
      <c r="I7" s="142" t="s">
        <v>252</v>
      </c>
      <c r="J7" s="143">
        <f>+SUM(J5:J6)</f>
        <v>14956.1</v>
      </c>
    </row>
    <row r="8" ht="14.25" customHeight="1">
      <c r="A8" s="136">
        <v>4.0</v>
      </c>
      <c r="B8" s="137">
        <v>45655.0</v>
      </c>
      <c r="C8" s="144"/>
      <c r="D8" s="138">
        <f t="shared" si="1"/>
        <v>140.2</v>
      </c>
      <c r="E8" s="138">
        <f t="shared" si="2"/>
        <v>311.6</v>
      </c>
      <c r="F8" s="139">
        <f t="shared" si="3"/>
        <v>451.8</v>
      </c>
      <c r="G8" s="138">
        <f t="shared" si="4"/>
        <v>13709.7</v>
      </c>
    </row>
    <row r="9" ht="14.25" customHeight="1">
      <c r="A9" s="136">
        <v>5.0</v>
      </c>
      <c r="B9" s="137">
        <v>45686.0</v>
      </c>
      <c r="C9" s="144"/>
      <c r="D9" s="138">
        <f t="shared" si="1"/>
        <v>137.1</v>
      </c>
      <c r="E9" s="138">
        <f t="shared" si="2"/>
        <v>311.6</v>
      </c>
      <c r="F9" s="139">
        <f t="shared" si="3"/>
        <v>448.7</v>
      </c>
      <c r="G9" s="138">
        <f t="shared" si="4"/>
        <v>13398.1</v>
      </c>
    </row>
    <row r="10" ht="14.25" customHeight="1">
      <c r="A10" s="136">
        <v>6.0</v>
      </c>
      <c r="B10" s="137">
        <v>45716.0</v>
      </c>
      <c r="C10" s="144"/>
      <c r="D10" s="138">
        <f t="shared" si="1"/>
        <v>134</v>
      </c>
      <c r="E10" s="138">
        <f t="shared" si="2"/>
        <v>311.6</v>
      </c>
      <c r="F10" s="139">
        <f t="shared" si="3"/>
        <v>445.6</v>
      </c>
      <c r="G10" s="138">
        <f t="shared" si="4"/>
        <v>13086.5</v>
      </c>
    </row>
    <row r="11" ht="14.25" customHeight="1">
      <c r="A11" s="136">
        <v>7.0</v>
      </c>
      <c r="B11" s="137">
        <v>45745.0</v>
      </c>
      <c r="C11" s="144"/>
      <c r="D11" s="138">
        <f t="shared" si="1"/>
        <v>130.9</v>
      </c>
      <c r="E11" s="138">
        <f t="shared" si="2"/>
        <v>311.6</v>
      </c>
      <c r="F11" s="139">
        <f t="shared" si="3"/>
        <v>442.5</v>
      </c>
      <c r="G11" s="138">
        <f t="shared" si="4"/>
        <v>12774.9</v>
      </c>
    </row>
    <row r="12" ht="14.25" customHeight="1">
      <c r="A12" s="136">
        <v>8.0</v>
      </c>
      <c r="B12" s="137">
        <v>45776.0</v>
      </c>
      <c r="C12" s="144"/>
      <c r="D12" s="138">
        <f t="shared" si="1"/>
        <v>127.7</v>
      </c>
      <c r="E12" s="138">
        <f t="shared" si="2"/>
        <v>311.6</v>
      </c>
      <c r="F12" s="139">
        <f t="shared" si="3"/>
        <v>439.3</v>
      </c>
      <c r="G12" s="138">
        <f t="shared" si="4"/>
        <v>12463.3</v>
      </c>
    </row>
    <row r="13" ht="14.25" customHeight="1">
      <c r="A13" s="136">
        <v>9.0</v>
      </c>
      <c r="B13" s="137">
        <v>45806.0</v>
      </c>
      <c r="C13" s="144"/>
      <c r="D13" s="138">
        <f t="shared" si="1"/>
        <v>124.6</v>
      </c>
      <c r="E13" s="138">
        <f t="shared" si="2"/>
        <v>311.6</v>
      </c>
      <c r="F13" s="139">
        <f t="shared" si="3"/>
        <v>436.2</v>
      </c>
      <c r="G13" s="138">
        <f t="shared" si="4"/>
        <v>12151.7</v>
      </c>
    </row>
    <row r="14" ht="14.25" customHeight="1">
      <c r="A14" s="136">
        <v>10.0</v>
      </c>
      <c r="B14" s="137">
        <v>45837.0</v>
      </c>
      <c r="C14" s="144"/>
      <c r="D14" s="138">
        <f t="shared" si="1"/>
        <v>121.5</v>
      </c>
      <c r="E14" s="138">
        <f t="shared" si="2"/>
        <v>311.6</v>
      </c>
      <c r="F14" s="139">
        <f t="shared" si="3"/>
        <v>433.1</v>
      </c>
      <c r="G14" s="138">
        <f t="shared" si="4"/>
        <v>11840.1</v>
      </c>
    </row>
    <row r="15" ht="14.25" customHeight="1">
      <c r="A15" s="136">
        <v>11.0</v>
      </c>
      <c r="B15" s="137">
        <v>45867.0</v>
      </c>
      <c r="C15" s="144"/>
      <c r="D15" s="138">
        <f t="shared" si="1"/>
        <v>118.4</v>
      </c>
      <c r="E15" s="138">
        <f t="shared" si="2"/>
        <v>311.6</v>
      </c>
      <c r="F15" s="139">
        <f t="shared" si="3"/>
        <v>430</v>
      </c>
      <c r="G15" s="138">
        <f t="shared" si="4"/>
        <v>11528.5</v>
      </c>
    </row>
    <row r="16" ht="14.25" customHeight="1">
      <c r="A16" s="136">
        <v>12.0</v>
      </c>
      <c r="B16" s="137">
        <v>45898.0</v>
      </c>
      <c r="C16" s="144"/>
      <c r="D16" s="138">
        <f t="shared" si="1"/>
        <v>115.3</v>
      </c>
      <c r="E16" s="138">
        <f t="shared" si="2"/>
        <v>311.6</v>
      </c>
      <c r="F16" s="139">
        <f t="shared" si="3"/>
        <v>426.9</v>
      </c>
      <c r="G16" s="138">
        <f t="shared" si="4"/>
        <v>11216.9</v>
      </c>
    </row>
    <row r="17" ht="14.25" customHeight="1">
      <c r="A17" s="136">
        <v>13.0</v>
      </c>
      <c r="B17" s="137">
        <v>45929.0</v>
      </c>
      <c r="C17" s="144"/>
      <c r="D17" s="138">
        <f t="shared" si="1"/>
        <v>112.2</v>
      </c>
      <c r="E17" s="138">
        <f t="shared" si="2"/>
        <v>311.6</v>
      </c>
      <c r="F17" s="139">
        <f t="shared" si="3"/>
        <v>423.8</v>
      </c>
      <c r="G17" s="138">
        <f t="shared" si="4"/>
        <v>10905.3</v>
      </c>
    </row>
    <row r="18" ht="14.25" customHeight="1">
      <c r="A18" s="136">
        <v>14.0</v>
      </c>
      <c r="B18" s="137">
        <v>45959.0</v>
      </c>
      <c r="C18" s="145"/>
      <c r="D18" s="138">
        <f t="shared" si="1"/>
        <v>109.1</v>
      </c>
      <c r="E18" s="138">
        <f t="shared" si="2"/>
        <v>311.6</v>
      </c>
      <c r="F18" s="139">
        <f t="shared" si="3"/>
        <v>420.7</v>
      </c>
      <c r="G18" s="138">
        <f t="shared" si="4"/>
        <v>10593.7</v>
      </c>
      <c r="I18" s="190" t="s">
        <v>328</v>
      </c>
      <c r="J18" s="153">
        <f>SUM(D5:D20)</f>
        <v>2019</v>
      </c>
    </row>
    <row r="19" ht="14.25" customHeight="1">
      <c r="A19" s="136">
        <v>15.0</v>
      </c>
      <c r="B19" s="137">
        <v>45990.0</v>
      </c>
      <c r="C19" s="145"/>
      <c r="D19" s="138">
        <f t="shared" si="1"/>
        <v>105.9</v>
      </c>
      <c r="E19" s="138">
        <f t="shared" si="2"/>
        <v>311.6</v>
      </c>
      <c r="F19" s="139">
        <f t="shared" si="3"/>
        <v>417.5</v>
      </c>
      <c r="G19" s="138">
        <f t="shared" si="4"/>
        <v>10282.1</v>
      </c>
      <c r="I19" s="190" t="s">
        <v>209</v>
      </c>
      <c r="J19" s="153">
        <f>G20</f>
        <v>9970.5</v>
      </c>
    </row>
    <row r="20" ht="14.25" customHeight="1">
      <c r="A20" s="191">
        <v>16.0</v>
      </c>
      <c r="B20" s="192">
        <v>46020.0</v>
      </c>
      <c r="C20" s="193"/>
      <c r="D20" s="194">
        <f t="shared" si="1"/>
        <v>102.8</v>
      </c>
      <c r="E20" s="194">
        <f t="shared" si="2"/>
        <v>311.6</v>
      </c>
      <c r="F20" s="157">
        <f t="shared" si="3"/>
        <v>414.4</v>
      </c>
      <c r="G20" s="194">
        <f t="shared" si="4"/>
        <v>9970.5</v>
      </c>
    </row>
    <row r="21" ht="14.25" hidden="1" customHeight="1">
      <c r="A21" s="131">
        <v>17.0</v>
      </c>
      <c r="B21" s="132">
        <v>46051.0</v>
      </c>
      <c r="C21" s="146"/>
      <c r="D21" s="135">
        <f t="shared" si="1"/>
        <v>99.7</v>
      </c>
      <c r="E21" s="135">
        <f t="shared" si="2"/>
        <v>311.6</v>
      </c>
      <c r="F21" s="133">
        <f t="shared" si="3"/>
        <v>411.3</v>
      </c>
      <c r="G21" s="135">
        <f t="shared" si="4"/>
        <v>9658.9</v>
      </c>
    </row>
    <row r="22" ht="14.25" hidden="1" customHeight="1">
      <c r="A22" s="131">
        <v>18.0</v>
      </c>
      <c r="B22" s="132">
        <v>46081.0</v>
      </c>
      <c r="C22" s="146"/>
      <c r="D22" s="135">
        <f t="shared" si="1"/>
        <v>96.6</v>
      </c>
      <c r="E22" s="135">
        <f t="shared" si="2"/>
        <v>311.6</v>
      </c>
      <c r="F22" s="133">
        <f t="shared" si="3"/>
        <v>408.2</v>
      </c>
      <c r="G22" s="135">
        <f t="shared" si="4"/>
        <v>9347.3</v>
      </c>
    </row>
    <row r="23" ht="14.25" hidden="1" customHeight="1">
      <c r="A23" s="131">
        <v>19.0</v>
      </c>
      <c r="B23" s="132">
        <v>46110.0</v>
      </c>
      <c r="C23" s="146"/>
      <c r="D23" s="135">
        <f t="shared" si="1"/>
        <v>93.5</v>
      </c>
      <c r="E23" s="135">
        <f t="shared" si="2"/>
        <v>311.6</v>
      </c>
      <c r="F23" s="133">
        <f t="shared" si="3"/>
        <v>405.1</v>
      </c>
      <c r="G23" s="135">
        <f t="shared" si="4"/>
        <v>9035.7</v>
      </c>
    </row>
    <row r="24" ht="14.25" hidden="1" customHeight="1">
      <c r="A24" s="131">
        <v>20.0</v>
      </c>
      <c r="B24" s="132">
        <v>46141.0</v>
      </c>
      <c r="C24" s="146"/>
      <c r="D24" s="135">
        <f t="shared" si="1"/>
        <v>90.4</v>
      </c>
      <c r="E24" s="135">
        <f t="shared" si="2"/>
        <v>311.6</v>
      </c>
      <c r="F24" s="133">
        <f t="shared" si="3"/>
        <v>402</v>
      </c>
      <c r="G24" s="135">
        <f t="shared" si="4"/>
        <v>8724.1</v>
      </c>
    </row>
    <row r="25" ht="14.25" hidden="1" customHeight="1">
      <c r="A25" s="131">
        <v>21.0</v>
      </c>
      <c r="B25" s="132">
        <v>46171.0</v>
      </c>
      <c r="C25" s="146"/>
      <c r="D25" s="135">
        <f t="shared" si="1"/>
        <v>87.2</v>
      </c>
      <c r="E25" s="135">
        <f t="shared" si="2"/>
        <v>311.6</v>
      </c>
      <c r="F25" s="133">
        <f t="shared" si="3"/>
        <v>398.8</v>
      </c>
      <c r="G25" s="135">
        <f t="shared" si="4"/>
        <v>8412.5</v>
      </c>
    </row>
    <row r="26" ht="14.25" hidden="1" customHeight="1">
      <c r="A26" s="131">
        <v>22.0</v>
      </c>
      <c r="B26" s="132">
        <v>46202.0</v>
      </c>
      <c r="C26" s="146"/>
      <c r="D26" s="135">
        <f t="shared" si="1"/>
        <v>84.1</v>
      </c>
      <c r="E26" s="135">
        <f t="shared" si="2"/>
        <v>311.6</v>
      </c>
      <c r="F26" s="133">
        <f t="shared" si="3"/>
        <v>395.7</v>
      </c>
      <c r="G26" s="135">
        <f t="shared" si="4"/>
        <v>8100.9</v>
      </c>
    </row>
    <row r="27" ht="14.25" hidden="1" customHeight="1">
      <c r="A27" s="131">
        <v>23.0</v>
      </c>
      <c r="B27" s="132">
        <v>46232.0</v>
      </c>
      <c r="C27" s="146"/>
      <c r="D27" s="135">
        <f t="shared" si="1"/>
        <v>81</v>
      </c>
      <c r="E27" s="135">
        <f t="shared" si="2"/>
        <v>311.6</v>
      </c>
      <c r="F27" s="133">
        <f t="shared" si="3"/>
        <v>392.6</v>
      </c>
      <c r="G27" s="135">
        <f t="shared" si="4"/>
        <v>7789.3</v>
      </c>
    </row>
    <row r="28" ht="14.25" hidden="1" customHeight="1">
      <c r="A28" s="131">
        <v>24.0</v>
      </c>
      <c r="B28" s="132">
        <v>46263.0</v>
      </c>
      <c r="C28" s="146"/>
      <c r="D28" s="135">
        <f t="shared" si="1"/>
        <v>77.9</v>
      </c>
      <c r="E28" s="135">
        <f t="shared" si="2"/>
        <v>311.6</v>
      </c>
      <c r="F28" s="133">
        <f t="shared" si="3"/>
        <v>389.5</v>
      </c>
      <c r="G28" s="135">
        <f t="shared" si="4"/>
        <v>7477.7</v>
      </c>
    </row>
    <row r="29" ht="14.25" hidden="1" customHeight="1">
      <c r="A29" s="131">
        <v>25.0</v>
      </c>
      <c r="B29" s="132">
        <v>46294.0</v>
      </c>
      <c r="C29" s="146"/>
      <c r="D29" s="135">
        <f t="shared" si="1"/>
        <v>74.8</v>
      </c>
      <c r="E29" s="135">
        <f t="shared" si="2"/>
        <v>311.6</v>
      </c>
      <c r="F29" s="133">
        <f t="shared" si="3"/>
        <v>386.4</v>
      </c>
      <c r="G29" s="135">
        <f t="shared" si="4"/>
        <v>7166.1</v>
      </c>
    </row>
    <row r="30" ht="14.25" hidden="1" customHeight="1">
      <c r="A30" s="131">
        <v>26.0</v>
      </c>
      <c r="B30" s="132">
        <v>46324.0</v>
      </c>
      <c r="C30" s="146"/>
      <c r="D30" s="135">
        <f t="shared" si="1"/>
        <v>71.7</v>
      </c>
      <c r="E30" s="135">
        <f t="shared" si="2"/>
        <v>311.6</v>
      </c>
      <c r="F30" s="133">
        <f t="shared" si="3"/>
        <v>383.3</v>
      </c>
      <c r="G30" s="135">
        <f t="shared" si="4"/>
        <v>6854.5</v>
      </c>
    </row>
    <row r="31" ht="14.25" hidden="1" customHeight="1">
      <c r="A31" s="131">
        <v>27.0</v>
      </c>
      <c r="B31" s="132">
        <v>46355.0</v>
      </c>
      <c r="C31" s="146"/>
      <c r="D31" s="135">
        <f t="shared" si="1"/>
        <v>68.5</v>
      </c>
      <c r="E31" s="135">
        <f t="shared" si="2"/>
        <v>311.6</v>
      </c>
      <c r="F31" s="133">
        <f t="shared" si="3"/>
        <v>380.1</v>
      </c>
      <c r="G31" s="135">
        <f t="shared" si="4"/>
        <v>6542.9</v>
      </c>
    </row>
    <row r="32" ht="14.25" hidden="1" customHeight="1">
      <c r="A32" s="131">
        <v>28.0</v>
      </c>
      <c r="B32" s="132">
        <v>46385.0</v>
      </c>
      <c r="C32" s="146"/>
      <c r="D32" s="135">
        <f t="shared" si="1"/>
        <v>65.4</v>
      </c>
      <c r="E32" s="135">
        <f t="shared" si="2"/>
        <v>311.6</v>
      </c>
      <c r="F32" s="133">
        <f t="shared" si="3"/>
        <v>377</v>
      </c>
      <c r="G32" s="135">
        <f t="shared" si="4"/>
        <v>6231.3</v>
      </c>
    </row>
    <row r="33" ht="14.25" hidden="1" customHeight="1">
      <c r="A33" s="131">
        <v>29.0</v>
      </c>
      <c r="B33" s="132">
        <v>46416.0</v>
      </c>
      <c r="C33" s="146"/>
      <c r="D33" s="135">
        <f t="shared" si="1"/>
        <v>62.3</v>
      </c>
      <c r="E33" s="135">
        <f t="shared" si="2"/>
        <v>311.6</v>
      </c>
      <c r="F33" s="133">
        <f t="shared" si="3"/>
        <v>373.9</v>
      </c>
      <c r="G33" s="135">
        <f t="shared" si="4"/>
        <v>5919.7</v>
      </c>
    </row>
    <row r="34" ht="14.25" hidden="1" customHeight="1">
      <c r="A34" s="131">
        <v>30.0</v>
      </c>
      <c r="B34" s="132">
        <v>46446.0</v>
      </c>
      <c r="C34" s="146"/>
      <c r="D34" s="135">
        <f t="shared" si="1"/>
        <v>59.2</v>
      </c>
      <c r="E34" s="135">
        <f t="shared" si="2"/>
        <v>311.6</v>
      </c>
      <c r="F34" s="133">
        <f t="shared" si="3"/>
        <v>370.8</v>
      </c>
      <c r="G34" s="135">
        <f t="shared" si="4"/>
        <v>5608.1</v>
      </c>
    </row>
    <row r="35" ht="14.25" hidden="1" customHeight="1">
      <c r="A35" s="131">
        <v>31.0</v>
      </c>
      <c r="B35" s="132">
        <v>46475.0</v>
      </c>
      <c r="C35" s="146"/>
      <c r="D35" s="135">
        <f t="shared" si="1"/>
        <v>56.1</v>
      </c>
      <c r="E35" s="135">
        <f t="shared" si="2"/>
        <v>311.6</v>
      </c>
      <c r="F35" s="133">
        <f t="shared" si="3"/>
        <v>367.7</v>
      </c>
      <c r="G35" s="135">
        <f t="shared" si="4"/>
        <v>5296.5</v>
      </c>
    </row>
    <row r="36" ht="14.25" hidden="1" customHeight="1">
      <c r="A36" s="131">
        <v>32.0</v>
      </c>
      <c r="B36" s="132">
        <v>46506.0</v>
      </c>
      <c r="C36" s="146"/>
      <c r="D36" s="135">
        <f t="shared" si="1"/>
        <v>53</v>
      </c>
      <c r="E36" s="135">
        <f t="shared" si="2"/>
        <v>311.6</v>
      </c>
      <c r="F36" s="133">
        <f t="shared" si="3"/>
        <v>364.6</v>
      </c>
      <c r="G36" s="135">
        <f t="shared" si="4"/>
        <v>4984.9</v>
      </c>
    </row>
    <row r="37" ht="14.25" hidden="1" customHeight="1">
      <c r="A37" s="131">
        <v>33.0</v>
      </c>
      <c r="B37" s="132">
        <v>46536.0</v>
      </c>
      <c r="C37" s="146"/>
      <c r="D37" s="135">
        <f t="shared" si="1"/>
        <v>49.8</v>
      </c>
      <c r="E37" s="135">
        <f t="shared" si="2"/>
        <v>311.6</v>
      </c>
      <c r="F37" s="133">
        <f t="shared" si="3"/>
        <v>361.4</v>
      </c>
      <c r="G37" s="135">
        <f t="shared" si="4"/>
        <v>4673.3</v>
      </c>
    </row>
    <row r="38" ht="14.25" hidden="1" customHeight="1">
      <c r="A38" s="131">
        <v>34.0</v>
      </c>
      <c r="B38" s="132">
        <v>46567.0</v>
      </c>
      <c r="C38" s="146"/>
      <c r="D38" s="135">
        <f t="shared" si="1"/>
        <v>46.7</v>
      </c>
      <c r="E38" s="135">
        <f t="shared" si="2"/>
        <v>311.6</v>
      </c>
      <c r="F38" s="133">
        <f t="shared" si="3"/>
        <v>358.3</v>
      </c>
      <c r="G38" s="135">
        <f t="shared" si="4"/>
        <v>4361.7</v>
      </c>
    </row>
    <row r="39" ht="14.25" hidden="1" customHeight="1">
      <c r="A39" s="131">
        <v>35.0</v>
      </c>
      <c r="B39" s="132">
        <v>46597.0</v>
      </c>
      <c r="C39" s="146"/>
      <c r="D39" s="135">
        <f t="shared" si="1"/>
        <v>43.6</v>
      </c>
      <c r="E39" s="135">
        <f t="shared" si="2"/>
        <v>311.6</v>
      </c>
      <c r="F39" s="133">
        <f t="shared" si="3"/>
        <v>355.2</v>
      </c>
      <c r="G39" s="135">
        <f t="shared" si="4"/>
        <v>4050.1</v>
      </c>
    </row>
    <row r="40" ht="14.25" hidden="1" customHeight="1">
      <c r="A40" s="131">
        <v>36.0</v>
      </c>
      <c r="B40" s="132">
        <v>46628.0</v>
      </c>
      <c r="C40" s="146"/>
      <c r="D40" s="135">
        <f t="shared" si="1"/>
        <v>40.5</v>
      </c>
      <c r="E40" s="135">
        <f t="shared" si="2"/>
        <v>311.6</v>
      </c>
      <c r="F40" s="133">
        <f t="shared" si="3"/>
        <v>352.1</v>
      </c>
      <c r="G40" s="135">
        <f t="shared" si="4"/>
        <v>3738.5</v>
      </c>
    </row>
    <row r="41" ht="14.25" hidden="1" customHeight="1">
      <c r="A41" s="131">
        <v>37.0</v>
      </c>
      <c r="B41" s="132">
        <v>46659.0</v>
      </c>
      <c r="C41" s="146"/>
      <c r="D41" s="135">
        <f t="shared" si="1"/>
        <v>37.4</v>
      </c>
      <c r="E41" s="135">
        <f t="shared" si="2"/>
        <v>311.6</v>
      </c>
      <c r="F41" s="133">
        <f t="shared" si="3"/>
        <v>349</v>
      </c>
      <c r="G41" s="135">
        <f t="shared" si="4"/>
        <v>3426.9</v>
      </c>
    </row>
    <row r="42" ht="14.25" hidden="1" customHeight="1">
      <c r="A42" s="131">
        <v>38.0</v>
      </c>
      <c r="B42" s="132">
        <v>46689.0</v>
      </c>
      <c r="C42" s="146"/>
      <c r="D42" s="135">
        <f t="shared" si="1"/>
        <v>34.3</v>
      </c>
      <c r="E42" s="135">
        <f t="shared" si="2"/>
        <v>311.6</v>
      </c>
      <c r="F42" s="133">
        <f t="shared" si="3"/>
        <v>345.9</v>
      </c>
      <c r="G42" s="135">
        <f t="shared" si="4"/>
        <v>3115.3</v>
      </c>
    </row>
    <row r="43" ht="14.25" hidden="1" customHeight="1">
      <c r="A43" s="131">
        <v>39.0</v>
      </c>
      <c r="B43" s="132">
        <v>46720.0</v>
      </c>
      <c r="C43" s="146"/>
      <c r="D43" s="135">
        <f t="shared" si="1"/>
        <v>31.2</v>
      </c>
      <c r="E43" s="135">
        <f t="shared" si="2"/>
        <v>311.6</v>
      </c>
      <c r="F43" s="133">
        <f t="shared" si="3"/>
        <v>342.8</v>
      </c>
      <c r="G43" s="135">
        <f t="shared" si="4"/>
        <v>2803.7</v>
      </c>
    </row>
    <row r="44" ht="14.25" hidden="1" customHeight="1">
      <c r="A44" s="131">
        <v>40.0</v>
      </c>
      <c r="B44" s="132">
        <v>46750.0</v>
      </c>
      <c r="C44" s="146"/>
      <c r="D44" s="135">
        <f t="shared" si="1"/>
        <v>28</v>
      </c>
      <c r="E44" s="135">
        <f t="shared" si="2"/>
        <v>311.6</v>
      </c>
      <c r="F44" s="133">
        <f t="shared" si="3"/>
        <v>339.6</v>
      </c>
      <c r="G44" s="135">
        <f t="shared" si="4"/>
        <v>2492.1</v>
      </c>
    </row>
    <row r="45" ht="14.25" hidden="1" customHeight="1">
      <c r="A45" s="131">
        <v>41.0</v>
      </c>
      <c r="B45" s="132">
        <v>46781.0</v>
      </c>
      <c r="C45" s="146"/>
      <c r="D45" s="135">
        <f t="shared" si="1"/>
        <v>24.9</v>
      </c>
      <c r="E45" s="135">
        <f t="shared" si="2"/>
        <v>311.6</v>
      </c>
      <c r="F45" s="133">
        <f t="shared" si="3"/>
        <v>336.5</v>
      </c>
      <c r="G45" s="135">
        <f t="shared" si="4"/>
        <v>2180.5</v>
      </c>
    </row>
    <row r="46" ht="14.25" hidden="1" customHeight="1">
      <c r="A46" s="131">
        <v>42.0</v>
      </c>
      <c r="B46" s="132">
        <v>46812.0</v>
      </c>
      <c r="C46" s="146"/>
      <c r="D46" s="135">
        <f t="shared" si="1"/>
        <v>21.8</v>
      </c>
      <c r="E46" s="135">
        <f t="shared" si="2"/>
        <v>311.6</v>
      </c>
      <c r="F46" s="133">
        <f t="shared" si="3"/>
        <v>333.4</v>
      </c>
      <c r="G46" s="135">
        <f t="shared" si="4"/>
        <v>1868.9</v>
      </c>
    </row>
    <row r="47" ht="14.25" hidden="1" customHeight="1">
      <c r="A47" s="131">
        <v>43.0</v>
      </c>
      <c r="B47" s="132">
        <v>46841.0</v>
      </c>
      <c r="C47" s="146"/>
      <c r="D47" s="135">
        <f t="shared" si="1"/>
        <v>18.7</v>
      </c>
      <c r="E47" s="135">
        <f t="shared" si="2"/>
        <v>311.6</v>
      </c>
      <c r="F47" s="133">
        <f t="shared" si="3"/>
        <v>330.3</v>
      </c>
      <c r="G47" s="135">
        <f t="shared" si="4"/>
        <v>1557.3</v>
      </c>
    </row>
    <row r="48" ht="14.25" hidden="1" customHeight="1">
      <c r="A48" s="131">
        <v>44.0</v>
      </c>
      <c r="B48" s="132">
        <v>46872.0</v>
      </c>
      <c r="C48" s="146"/>
      <c r="D48" s="135">
        <f t="shared" si="1"/>
        <v>15.6</v>
      </c>
      <c r="E48" s="135">
        <f t="shared" si="2"/>
        <v>311.6</v>
      </c>
      <c r="F48" s="133">
        <f t="shared" si="3"/>
        <v>327.2</v>
      </c>
      <c r="G48" s="135">
        <f t="shared" si="4"/>
        <v>1245.7</v>
      </c>
    </row>
    <row r="49" ht="14.25" hidden="1" customHeight="1">
      <c r="A49" s="131">
        <v>45.0</v>
      </c>
      <c r="B49" s="132">
        <v>46902.0</v>
      </c>
      <c r="C49" s="146"/>
      <c r="D49" s="135">
        <f t="shared" si="1"/>
        <v>12.5</v>
      </c>
      <c r="E49" s="135">
        <f t="shared" si="2"/>
        <v>311.6</v>
      </c>
      <c r="F49" s="133">
        <f t="shared" si="3"/>
        <v>324.1</v>
      </c>
      <c r="G49" s="135">
        <f t="shared" si="4"/>
        <v>934.1</v>
      </c>
    </row>
    <row r="50" ht="14.25" hidden="1" customHeight="1">
      <c r="A50" s="131">
        <v>46.0</v>
      </c>
      <c r="B50" s="132">
        <v>46933.0</v>
      </c>
      <c r="C50" s="146"/>
      <c r="D50" s="135">
        <f t="shared" si="1"/>
        <v>9.3</v>
      </c>
      <c r="E50" s="135">
        <f t="shared" si="2"/>
        <v>311.6</v>
      </c>
      <c r="F50" s="133">
        <f t="shared" si="3"/>
        <v>320.9</v>
      </c>
      <c r="G50" s="135">
        <f t="shared" si="4"/>
        <v>622.5</v>
      </c>
    </row>
    <row r="51" ht="14.25" hidden="1" customHeight="1">
      <c r="A51" s="131">
        <v>47.0</v>
      </c>
      <c r="B51" s="132">
        <v>46963.0</v>
      </c>
      <c r="C51" s="146"/>
      <c r="D51" s="135">
        <f t="shared" si="1"/>
        <v>6.2</v>
      </c>
      <c r="E51" s="135">
        <f t="shared" si="2"/>
        <v>311.6</v>
      </c>
      <c r="F51" s="133">
        <f t="shared" si="3"/>
        <v>317.8</v>
      </c>
      <c r="G51" s="135">
        <f t="shared" si="4"/>
        <v>310.9</v>
      </c>
      <c r="I51" s="170"/>
      <c r="J51" s="170"/>
    </row>
    <row r="52" ht="14.25" hidden="1" customHeight="1">
      <c r="A52" s="131">
        <v>48.0</v>
      </c>
      <c r="B52" s="132">
        <v>46994.0</v>
      </c>
      <c r="C52" s="146"/>
      <c r="D52" s="135">
        <f t="shared" si="1"/>
        <v>3.1</v>
      </c>
      <c r="E52" s="135">
        <f t="shared" si="2"/>
        <v>311.6</v>
      </c>
      <c r="F52" s="133">
        <f t="shared" si="3"/>
        <v>314.7</v>
      </c>
      <c r="G52" s="135">
        <f t="shared" si="4"/>
        <v>-0.7</v>
      </c>
      <c r="I52" s="170"/>
      <c r="J52" s="170"/>
    </row>
    <row r="53" ht="14.25" customHeight="1">
      <c r="A53" s="129" t="s">
        <v>252</v>
      </c>
      <c r="B53" s="2"/>
      <c r="C53" s="3"/>
      <c r="D53" s="147">
        <f t="shared" ref="D53:F53" si="5">+SUM(D5:D52)</f>
        <v>3664</v>
      </c>
      <c r="E53" s="147">
        <f t="shared" si="5"/>
        <v>14956.8</v>
      </c>
      <c r="F53" s="147">
        <f t="shared" si="5"/>
        <v>18620.8</v>
      </c>
      <c r="G53" s="148"/>
      <c r="I53" s="170"/>
      <c r="J53" s="170"/>
    </row>
    <row r="54" ht="14.25" customHeight="1">
      <c r="I54" s="170"/>
      <c r="J54" s="170"/>
    </row>
    <row r="55" ht="14.25" customHeight="1">
      <c r="A55" s="169" t="s">
        <v>369</v>
      </c>
      <c r="B55" s="2"/>
      <c r="C55" s="2"/>
      <c r="D55" s="2"/>
      <c r="E55" s="2"/>
      <c r="F55" s="2"/>
      <c r="G55" s="3"/>
    </row>
    <row r="56" ht="14.25" customHeight="1">
      <c r="A56" s="171" t="s">
        <v>349</v>
      </c>
      <c r="B56" s="2"/>
      <c r="C56" s="2"/>
      <c r="D56" s="2"/>
      <c r="E56" s="2"/>
      <c r="F56" s="2"/>
      <c r="G56" s="3"/>
    </row>
    <row r="57" ht="14.25" customHeight="1">
      <c r="A57" s="172" t="s">
        <v>326</v>
      </c>
      <c r="B57" s="172" t="s">
        <v>256</v>
      </c>
      <c r="C57" s="172" t="s">
        <v>327</v>
      </c>
      <c r="D57" s="172" t="s">
        <v>328</v>
      </c>
      <c r="E57" s="172" t="s">
        <v>329</v>
      </c>
      <c r="F57" s="172" t="s">
        <v>330</v>
      </c>
      <c r="G57" s="172" t="s">
        <v>209</v>
      </c>
    </row>
    <row r="58" ht="14.25" customHeight="1">
      <c r="A58" s="173">
        <v>0.0</v>
      </c>
      <c r="B58" s="195">
        <v>46020.0</v>
      </c>
      <c r="C58" s="175">
        <f>J60</f>
        <v>22233.2</v>
      </c>
      <c r="D58" s="176">
        <v>0.01</v>
      </c>
      <c r="E58" s="177"/>
      <c r="F58" s="177"/>
      <c r="G58" s="186">
        <f>C58</f>
        <v>22233.2</v>
      </c>
      <c r="I58" s="182" t="s">
        <v>209</v>
      </c>
      <c r="J58" s="196">
        <f>J19</f>
        <v>9970.5</v>
      </c>
    </row>
    <row r="59" ht="14.25" customHeight="1">
      <c r="A59" s="183">
        <v>1.0</v>
      </c>
      <c r="B59" s="195">
        <v>46051.0</v>
      </c>
      <c r="C59" s="185"/>
      <c r="D59" s="186">
        <f t="shared" ref="D59:D118" si="6">+ROUND(G58*0.01,1)</f>
        <v>222.3</v>
      </c>
      <c r="E59" s="186">
        <f t="shared" ref="E59:E117" si="7">ROUND($C$58/60,1)</f>
        <v>370.6</v>
      </c>
      <c r="F59" s="187">
        <f t="shared" ref="F59:F118" si="8">+ROUND(D59+E59,1)</f>
        <v>592.9</v>
      </c>
      <c r="G59" s="186">
        <f t="shared" ref="G59:G118" si="9">+ROUND(G58-E59,1)</f>
        <v>21862.6</v>
      </c>
      <c r="I59" s="182" t="s">
        <v>331</v>
      </c>
      <c r="J59" s="196">
        <v>12262.7</v>
      </c>
    </row>
    <row r="60" ht="14.25" customHeight="1">
      <c r="A60" s="183">
        <v>2.0</v>
      </c>
      <c r="B60" s="195">
        <v>46081.0</v>
      </c>
      <c r="C60" s="185"/>
      <c r="D60" s="186">
        <f t="shared" si="6"/>
        <v>218.6</v>
      </c>
      <c r="E60" s="186">
        <f t="shared" si="7"/>
        <v>370.6</v>
      </c>
      <c r="F60" s="187">
        <f t="shared" si="8"/>
        <v>589.2</v>
      </c>
      <c r="G60" s="186">
        <f t="shared" si="9"/>
        <v>21492</v>
      </c>
      <c r="I60" s="197" t="s">
        <v>252</v>
      </c>
      <c r="J60" s="198">
        <f>J59+J58</f>
        <v>22233.2</v>
      </c>
    </row>
    <row r="61" ht="14.25" customHeight="1">
      <c r="A61" s="183">
        <v>3.0</v>
      </c>
      <c r="B61" s="195">
        <v>46110.0</v>
      </c>
      <c r="C61" s="185"/>
      <c r="D61" s="186">
        <f t="shared" si="6"/>
        <v>214.9</v>
      </c>
      <c r="E61" s="186">
        <f t="shared" si="7"/>
        <v>370.6</v>
      </c>
      <c r="F61" s="187">
        <f t="shared" si="8"/>
        <v>585.5</v>
      </c>
      <c r="G61" s="186">
        <f t="shared" si="9"/>
        <v>21121.4</v>
      </c>
    </row>
    <row r="62" ht="14.25" customHeight="1">
      <c r="A62" s="183">
        <v>4.0</v>
      </c>
      <c r="B62" s="195">
        <v>46141.0</v>
      </c>
      <c r="C62" s="185"/>
      <c r="D62" s="186">
        <f t="shared" si="6"/>
        <v>211.2</v>
      </c>
      <c r="E62" s="186">
        <f t="shared" si="7"/>
        <v>370.6</v>
      </c>
      <c r="F62" s="187">
        <f t="shared" si="8"/>
        <v>581.8</v>
      </c>
      <c r="G62" s="186">
        <f t="shared" si="9"/>
        <v>20750.8</v>
      </c>
    </row>
    <row r="63" ht="14.25" customHeight="1">
      <c r="A63" s="183">
        <v>5.0</v>
      </c>
      <c r="B63" s="195">
        <v>46171.0</v>
      </c>
      <c r="C63" s="185"/>
      <c r="D63" s="186">
        <f t="shared" si="6"/>
        <v>207.5</v>
      </c>
      <c r="E63" s="186">
        <f t="shared" si="7"/>
        <v>370.6</v>
      </c>
      <c r="F63" s="187">
        <f t="shared" si="8"/>
        <v>578.1</v>
      </c>
      <c r="G63" s="186">
        <f t="shared" si="9"/>
        <v>20380.2</v>
      </c>
    </row>
    <row r="64" ht="14.25" customHeight="1">
      <c r="A64" s="183">
        <v>6.0</v>
      </c>
      <c r="B64" s="195">
        <v>46202.0</v>
      </c>
      <c r="C64" s="185"/>
      <c r="D64" s="186">
        <f t="shared" si="6"/>
        <v>203.8</v>
      </c>
      <c r="E64" s="186">
        <f t="shared" si="7"/>
        <v>370.6</v>
      </c>
      <c r="F64" s="187">
        <f t="shared" si="8"/>
        <v>574.4</v>
      </c>
      <c r="G64" s="186">
        <f t="shared" si="9"/>
        <v>20009.6</v>
      </c>
    </row>
    <row r="65" ht="14.25" customHeight="1">
      <c r="A65" s="183">
        <v>7.0</v>
      </c>
      <c r="B65" s="195">
        <v>46232.0</v>
      </c>
      <c r="C65" s="185"/>
      <c r="D65" s="186">
        <f t="shared" si="6"/>
        <v>200.1</v>
      </c>
      <c r="E65" s="186">
        <f t="shared" si="7"/>
        <v>370.6</v>
      </c>
      <c r="F65" s="187">
        <f t="shared" si="8"/>
        <v>570.7</v>
      </c>
      <c r="G65" s="186">
        <f t="shared" si="9"/>
        <v>19639</v>
      </c>
    </row>
    <row r="66" ht="14.25" customHeight="1">
      <c r="A66" s="183">
        <v>8.0</v>
      </c>
      <c r="B66" s="195">
        <v>46263.0</v>
      </c>
      <c r="C66" s="185"/>
      <c r="D66" s="186">
        <f t="shared" si="6"/>
        <v>196.4</v>
      </c>
      <c r="E66" s="186">
        <f t="shared" si="7"/>
        <v>370.6</v>
      </c>
      <c r="F66" s="187">
        <f t="shared" si="8"/>
        <v>567</v>
      </c>
      <c r="G66" s="186">
        <f t="shared" si="9"/>
        <v>19268.4</v>
      </c>
    </row>
    <row r="67" ht="14.25" customHeight="1">
      <c r="A67" s="183">
        <v>9.0</v>
      </c>
      <c r="B67" s="195">
        <v>46294.0</v>
      </c>
      <c r="C67" s="185"/>
      <c r="D67" s="186">
        <f t="shared" si="6"/>
        <v>192.7</v>
      </c>
      <c r="E67" s="186">
        <f t="shared" si="7"/>
        <v>370.6</v>
      </c>
      <c r="F67" s="187">
        <f t="shared" si="8"/>
        <v>563.3</v>
      </c>
      <c r="G67" s="186">
        <f t="shared" si="9"/>
        <v>18897.8</v>
      </c>
    </row>
    <row r="68" ht="14.25" customHeight="1">
      <c r="A68" s="183">
        <v>10.0</v>
      </c>
      <c r="B68" s="195">
        <v>46324.0</v>
      </c>
      <c r="C68" s="185"/>
      <c r="D68" s="186">
        <f t="shared" si="6"/>
        <v>189</v>
      </c>
      <c r="E68" s="186">
        <f t="shared" si="7"/>
        <v>370.6</v>
      </c>
      <c r="F68" s="187">
        <f t="shared" si="8"/>
        <v>559.6</v>
      </c>
      <c r="G68" s="186">
        <f t="shared" si="9"/>
        <v>18527.2</v>
      </c>
    </row>
    <row r="69" ht="14.25" customHeight="1">
      <c r="A69" s="183">
        <v>11.0</v>
      </c>
      <c r="B69" s="195">
        <v>46355.0</v>
      </c>
      <c r="C69" s="185"/>
      <c r="D69" s="186">
        <f t="shared" si="6"/>
        <v>185.3</v>
      </c>
      <c r="E69" s="186">
        <f t="shared" si="7"/>
        <v>370.6</v>
      </c>
      <c r="F69" s="187">
        <f t="shared" si="8"/>
        <v>555.9</v>
      </c>
      <c r="G69" s="186">
        <f t="shared" si="9"/>
        <v>18156.6</v>
      </c>
    </row>
    <row r="70" ht="14.25" customHeight="1">
      <c r="A70" s="183">
        <v>12.0</v>
      </c>
      <c r="B70" s="195">
        <v>46385.0</v>
      </c>
      <c r="C70" s="185"/>
      <c r="D70" s="186">
        <f t="shared" si="6"/>
        <v>181.6</v>
      </c>
      <c r="E70" s="186">
        <f t="shared" si="7"/>
        <v>370.6</v>
      </c>
      <c r="F70" s="187">
        <f t="shared" si="8"/>
        <v>552.2</v>
      </c>
      <c r="G70" s="186">
        <f t="shared" si="9"/>
        <v>17786</v>
      </c>
    </row>
    <row r="71" ht="14.25" customHeight="1">
      <c r="A71" s="183">
        <v>13.0</v>
      </c>
      <c r="B71" s="195">
        <v>46416.0</v>
      </c>
      <c r="C71" s="185"/>
      <c r="D71" s="186">
        <f t="shared" si="6"/>
        <v>177.9</v>
      </c>
      <c r="E71" s="186">
        <f t="shared" si="7"/>
        <v>370.6</v>
      </c>
      <c r="F71" s="187">
        <f t="shared" si="8"/>
        <v>548.5</v>
      </c>
      <c r="G71" s="186">
        <f t="shared" si="9"/>
        <v>17415.4</v>
      </c>
    </row>
    <row r="72" ht="14.25" customHeight="1">
      <c r="A72" s="183">
        <v>14.0</v>
      </c>
      <c r="B72" s="195">
        <v>46446.0</v>
      </c>
      <c r="C72" s="185"/>
      <c r="D72" s="186">
        <f t="shared" si="6"/>
        <v>174.2</v>
      </c>
      <c r="E72" s="186">
        <f t="shared" si="7"/>
        <v>370.6</v>
      </c>
      <c r="F72" s="187">
        <f t="shared" si="8"/>
        <v>544.8</v>
      </c>
      <c r="G72" s="186">
        <f t="shared" si="9"/>
        <v>17044.8</v>
      </c>
    </row>
    <row r="73" ht="14.25" customHeight="1">
      <c r="A73" s="183">
        <v>15.0</v>
      </c>
      <c r="B73" s="195">
        <v>46475.0</v>
      </c>
      <c r="C73" s="185"/>
      <c r="D73" s="186">
        <f t="shared" si="6"/>
        <v>170.4</v>
      </c>
      <c r="E73" s="186">
        <f t="shared" si="7"/>
        <v>370.6</v>
      </c>
      <c r="F73" s="187">
        <f t="shared" si="8"/>
        <v>541</v>
      </c>
      <c r="G73" s="186">
        <f t="shared" si="9"/>
        <v>16674.2</v>
      </c>
    </row>
    <row r="74" ht="14.25" customHeight="1">
      <c r="A74" s="183">
        <v>16.0</v>
      </c>
      <c r="B74" s="195">
        <v>46506.0</v>
      </c>
      <c r="C74" s="185"/>
      <c r="D74" s="186">
        <f t="shared" si="6"/>
        <v>166.7</v>
      </c>
      <c r="E74" s="186">
        <f t="shared" si="7"/>
        <v>370.6</v>
      </c>
      <c r="F74" s="187">
        <f t="shared" si="8"/>
        <v>537.3</v>
      </c>
      <c r="G74" s="186">
        <f t="shared" si="9"/>
        <v>16303.6</v>
      </c>
    </row>
    <row r="75" ht="14.25" customHeight="1">
      <c r="A75" s="183">
        <v>17.0</v>
      </c>
      <c r="B75" s="195">
        <v>46536.0</v>
      </c>
      <c r="C75" s="185"/>
      <c r="D75" s="186">
        <f t="shared" si="6"/>
        <v>163</v>
      </c>
      <c r="E75" s="186">
        <f t="shared" si="7"/>
        <v>370.6</v>
      </c>
      <c r="F75" s="187">
        <f t="shared" si="8"/>
        <v>533.6</v>
      </c>
      <c r="G75" s="186">
        <f t="shared" si="9"/>
        <v>15933</v>
      </c>
    </row>
    <row r="76" ht="14.25" customHeight="1">
      <c r="A76" s="183">
        <v>18.0</v>
      </c>
      <c r="B76" s="195">
        <v>46567.0</v>
      </c>
      <c r="C76" s="185"/>
      <c r="D76" s="186">
        <f t="shared" si="6"/>
        <v>159.3</v>
      </c>
      <c r="E76" s="186">
        <f t="shared" si="7"/>
        <v>370.6</v>
      </c>
      <c r="F76" s="187">
        <f t="shared" si="8"/>
        <v>529.9</v>
      </c>
      <c r="G76" s="186">
        <f t="shared" si="9"/>
        <v>15562.4</v>
      </c>
    </row>
    <row r="77" ht="14.25" customHeight="1">
      <c r="A77" s="183">
        <v>19.0</v>
      </c>
      <c r="B77" s="195">
        <v>46597.0</v>
      </c>
      <c r="C77" s="185"/>
      <c r="D77" s="186">
        <f t="shared" si="6"/>
        <v>155.6</v>
      </c>
      <c r="E77" s="186">
        <f t="shared" si="7"/>
        <v>370.6</v>
      </c>
      <c r="F77" s="187">
        <f t="shared" si="8"/>
        <v>526.2</v>
      </c>
      <c r="G77" s="186">
        <f t="shared" si="9"/>
        <v>15191.8</v>
      </c>
    </row>
    <row r="78" ht="14.25" customHeight="1">
      <c r="A78" s="183">
        <v>20.0</v>
      </c>
      <c r="B78" s="195">
        <v>46628.0</v>
      </c>
      <c r="C78" s="185"/>
      <c r="D78" s="186">
        <f t="shared" si="6"/>
        <v>151.9</v>
      </c>
      <c r="E78" s="186">
        <f t="shared" si="7"/>
        <v>370.6</v>
      </c>
      <c r="F78" s="187">
        <f t="shared" si="8"/>
        <v>522.5</v>
      </c>
      <c r="G78" s="186">
        <f t="shared" si="9"/>
        <v>14821.2</v>
      </c>
    </row>
    <row r="79" ht="14.25" customHeight="1">
      <c r="A79" s="183">
        <v>21.0</v>
      </c>
      <c r="B79" s="195">
        <v>46659.0</v>
      </c>
      <c r="C79" s="185"/>
      <c r="D79" s="186">
        <f t="shared" si="6"/>
        <v>148.2</v>
      </c>
      <c r="E79" s="186">
        <f t="shared" si="7"/>
        <v>370.6</v>
      </c>
      <c r="F79" s="187">
        <f t="shared" si="8"/>
        <v>518.8</v>
      </c>
      <c r="G79" s="186">
        <f t="shared" si="9"/>
        <v>14450.6</v>
      </c>
    </row>
    <row r="80" ht="14.25" customHeight="1">
      <c r="A80" s="183">
        <v>22.0</v>
      </c>
      <c r="B80" s="195">
        <v>46689.0</v>
      </c>
      <c r="C80" s="185"/>
      <c r="D80" s="186">
        <f t="shared" si="6"/>
        <v>144.5</v>
      </c>
      <c r="E80" s="186">
        <f t="shared" si="7"/>
        <v>370.6</v>
      </c>
      <c r="F80" s="187">
        <f t="shared" si="8"/>
        <v>515.1</v>
      </c>
      <c r="G80" s="186">
        <f t="shared" si="9"/>
        <v>14080</v>
      </c>
    </row>
    <row r="81" ht="14.25" customHeight="1">
      <c r="A81" s="183">
        <v>23.0</v>
      </c>
      <c r="B81" s="195">
        <v>46720.0</v>
      </c>
      <c r="C81" s="185"/>
      <c r="D81" s="186">
        <f t="shared" si="6"/>
        <v>140.8</v>
      </c>
      <c r="E81" s="186">
        <f t="shared" si="7"/>
        <v>370.6</v>
      </c>
      <c r="F81" s="187">
        <f t="shared" si="8"/>
        <v>511.4</v>
      </c>
      <c r="G81" s="186">
        <f t="shared" si="9"/>
        <v>13709.4</v>
      </c>
    </row>
    <row r="82" ht="14.25" customHeight="1">
      <c r="A82" s="183">
        <v>24.0</v>
      </c>
      <c r="B82" s="195">
        <v>46750.0</v>
      </c>
      <c r="C82" s="185"/>
      <c r="D82" s="186">
        <f t="shared" si="6"/>
        <v>137.1</v>
      </c>
      <c r="E82" s="186">
        <f t="shared" si="7"/>
        <v>370.6</v>
      </c>
      <c r="F82" s="187">
        <f t="shared" si="8"/>
        <v>507.7</v>
      </c>
      <c r="G82" s="186">
        <f t="shared" si="9"/>
        <v>13338.8</v>
      </c>
    </row>
    <row r="83" ht="14.25" customHeight="1">
      <c r="A83" s="183">
        <v>25.0</v>
      </c>
      <c r="B83" s="195">
        <v>46781.0</v>
      </c>
      <c r="C83" s="185"/>
      <c r="D83" s="186">
        <f t="shared" si="6"/>
        <v>133.4</v>
      </c>
      <c r="E83" s="186">
        <f t="shared" si="7"/>
        <v>370.6</v>
      </c>
      <c r="F83" s="187">
        <f t="shared" si="8"/>
        <v>504</v>
      </c>
      <c r="G83" s="186">
        <f t="shared" si="9"/>
        <v>12968.2</v>
      </c>
    </row>
    <row r="84" ht="14.25" customHeight="1">
      <c r="A84" s="183">
        <v>26.0</v>
      </c>
      <c r="B84" s="195">
        <v>46812.0</v>
      </c>
      <c r="C84" s="185"/>
      <c r="D84" s="186">
        <f t="shared" si="6"/>
        <v>129.7</v>
      </c>
      <c r="E84" s="186">
        <f t="shared" si="7"/>
        <v>370.6</v>
      </c>
      <c r="F84" s="187">
        <f t="shared" si="8"/>
        <v>500.3</v>
      </c>
      <c r="G84" s="186">
        <f t="shared" si="9"/>
        <v>12597.6</v>
      </c>
    </row>
    <row r="85" ht="14.25" customHeight="1">
      <c r="A85" s="183">
        <v>27.0</v>
      </c>
      <c r="B85" s="195">
        <v>46841.0</v>
      </c>
      <c r="C85" s="185"/>
      <c r="D85" s="186">
        <f t="shared" si="6"/>
        <v>126</v>
      </c>
      <c r="E85" s="186">
        <f t="shared" si="7"/>
        <v>370.6</v>
      </c>
      <c r="F85" s="187">
        <f t="shared" si="8"/>
        <v>496.6</v>
      </c>
      <c r="G85" s="186">
        <f t="shared" si="9"/>
        <v>12227</v>
      </c>
    </row>
    <row r="86" ht="14.25" customHeight="1">
      <c r="A86" s="183">
        <v>28.0</v>
      </c>
      <c r="B86" s="195">
        <v>46872.0</v>
      </c>
      <c r="C86" s="185"/>
      <c r="D86" s="186">
        <f t="shared" si="6"/>
        <v>122.3</v>
      </c>
      <c r="E86" s="186">
        <f t="shared" si="7"/>
        <v>370.6</v>
      </c>
      <c r="F86" s="187">
        <f t="shared" si="8"/>
        <v>492.9</v>
      </c>
      <c r="G86" s="186">
        <f t="shared" si="9"/>
        <v>11856.4</v>
      </c>
    </row>
    <row r="87" ht="14.25" customHeight="1">
      <c r="A87" s="183">
        <v>29.0</v>
      </c>
      <c r="B87" s="195">
        <v>46902.0</v>
      </c>
      <c r="C87" s="185"/>
      <c r="D87" s="186">
        <f t="shared" si="6"/>
        <v>118.6</v>
      </c>
      <c r="E87" s="186">
        <f t="shared" si="7"/>
        <v>370.6</v>
      </c>
      <c r="F87" s="187">
        <f t="shared" si="8"/>
        <v>489.2</v>
      </c>
      <c r="G87" s="186">
        <f t="shared" si="9"/>
        <v>11485.8</v>
      </c>
    </row>
    <row r="88" ht="14.25" customHeight="1">
      <c r="A88" s="183">
        <v>30.0</v>
      </c>
      <c r="B88" s="195">
        <v>46933.0</v>
      </c>
      <c r="C88" s="185"/>
      <c r="D88" s="186">
        <f t="shared" si="6"/>
        <v>114.9</v>
      </c>
      <c r="E88" s="186">
        <f t="shared" si="7"/>
        <v>370.6</v>
      </c>
      <c r="F88" s="187">
        <f t="shared" si="8"/>
        <v>485.5</v>
      </c>
      <c r="G88" s="186">
        <f t="shared" si="9"/>
        <v>11115.2</v>
      </c>
    </row>
    <row r="89" ht="14.25" customHeight="1">
      <c r="A89" s="183">
        <v>31.0</v>
      </c>
      <c r="B89" s="195">
        <v>46963.0</v>
      </c>
      <c r="C89" s="185"/>
      <c r="D89" s="186">
        <f t="shared" si="6"/>
        <v>111.2</v>
      </c>
      <c r="E89" s="186">
        <f t="shared" si="7"/>
        <v>370.6</v>
      </c>
      <c r="F89" s="187">
        <f t="shared" si="8"/>
        <v>481.8</v>
      </c>
      <c r="G89" s="186">
        <f t="shared" si="9"/>
        <v>10744.6</v>
      </c>
    </row>
    <row r="90" ht="14.25" customHeight="1">
      <c r="A90" s="183">
        <v>32.0</v>
      </c>
      <c r="B90" s="195">
        <v>46994.0</v>
      </c>
      <c r="C90" s="185"/>
      <c r="D90" s="186">
        <f t="shared" si="6"/>
        <v>107.4</v>
      </c>
      <c r="E90" s="186">
        <f t="shared" si="7"/>
        <v>370.6</v>
      </c>
      <c r="F90" s="187">
        <f t="shared" si="8"/>
        <v>478</v>
      </c>
      <c r="G90" s="186">
        <f t="shared" si="9"/>
        <v>10374</v>
      </c>
    </row>
    <row r="91" ht="14.25" customHeight="1">
      <c r="A91" s="183">
        <v>33.0</v>
      </c>
      <c r="B91" s="195">
        <v>47025.0</v>
      </c>
      <c r="C91" s="185"/>
      <c r="D91" s="186">
        <f t="shared" si="6"/>
        <v>103.7</v>
      </c>
      <c r="E91" s="186">
        <f t="shared" si="7"/>
        <v>370.6</v>
      </c>
      <c r="F91" s="187">
        <f t="shared" si="8"/>
        <v>474.3</v>
      </c>
      <c r="G91" s="186">
        <f t="shared" si="9"/>
        <v>10003.4</v>
      </c>
    </row>
    <row r="92" ht="14.25" customHeight="1">
      <c r="A92" s="183">
        <v>34.0</v>
      </c>
      <c r="B92" s="195">
        <v>47055.0</v>
      </c>
      <c r="C92" s="185"/>
      <c r="D92" s="186">
        <f t="shared" si="6"/>
        <v>100</v>
      </c>
      <c r="E92" s="186">
        <f t="shared" si="7"/>
        <v>370.6</v>
      </c>
      <c r="F92" s="187">
        <f t="shared" si="8"/>
        <v>470.6</v>
      </c>
      <c r="G92" s="186">
        <f t="shared" si="9"/>
        <v>9632.8</v>
      </c>
    </row>
    <row r="93" ht="14.25" customHeight="1">
      <c r="A93" s="183">
        <v>35.0</v>
      </c>
      <c r="B93" s="195">
        <v>47086.0</v>
      </c>
      <c r="C93" s="185"/>
      <c r="D93" s="186">
        <f t="shared" si="6"/>
        <v>96.3</v>
      </c>
      <c r="E93" s="186">
        <f t="shared" si="7"/>
        <v>370.6</v>
      </c>
      <c r="F93" s="187">
        <f t="shared" si="8"/>
        <v>466.9</v>
      </c>
      <c r="G93" s="186">
        <f t="shared" si="9"/>
        <v>9262.2</v>
      </c>
    </row>
    <row r="94" ht="14.25" customHeight="1">
      <c r="A94" s="183">
        <v>36.0</v>
      </c>
      <c r="B94" s="195">
        <v>47116.0</v>
      </c>
      <c r="C94" s="185"/>
      <c r="D94" s="186">
        <f t="shared" si="6"/>
        <v>92.6</v>
      </c>
      <c r="E94" s="186">
        <f t="shared" si="7"/>
        <v>370.6</v>
      </c>
      <c r="F94" s="187">
        <f t="shared" si="8"/>
        <v>463.2</v>
      </c>
      <c r="G94" s="186">
        <f t="shared" si="9"/>
        <v>8891.6</v>
      </c>
    </row>
    <row r="95" ht="14.25" customHeight="1">
      <c r="A95" s="183">
        <v>37.0</v>
      </c>
      <c r="B95" s="195">
        <v>47147.0</v>
      </c>
      <c r="C95" s="185"/>
      <c r="D95" s="186">
        <f t="shared" si="6"/>
        <v>88.9</v>
      </c>
      <c r="E95" s="186">
        <f t="shared" si="7"/>
        <v>370.6</v>
      </c>
      <c r="F95" s="187">
        <f t="shared" si="8"/>
        <v>459.5</v>
      </c>
      <c r="G95" s="186">
        <f t="shared" si="9"/>
        <v>8521</v>
      </c>
    </row>
    <row r="96" ht="14.25" customHeight="1">
      <c r="A96" s="183">
        <v>38.0</v>
      </c>
      <c r="B96" s="195">
        <v>47177.0</v>
      </c>
      <c r="C96" s="185"/>
      <c r="D96" s="186">
        <f t="shared" si="6"/>
        <v>85.2</v>
      </c>
      <c r="E96" s="186">
        <f t="shared" si="7"/>
        <v>370.6</v>
      </c>
      <c r="F96" s="187">
        <f t="shared" si="8"/>
        <v>455.8</v>
      </c>
      <c r="G96" s="186">
        <f t="shared" si="9"/>
        <v>8150.4</v>
      </c>
    </row>
    <row r="97" ht="14.25" customHeight="1">
      <c r="A97" s="183">
        <v>39.0</v>
      </c>
      <c r="B97" s="195">
        <v>47206.0</v>
      </c>
      <c r="C97" s="185"/>
      <c r="D97" s="186">
        <f t="shared" si="6"/>
        <v>81.5</v>
      </c>
      <c r="E97" s="186">
        <f t="shared" si="7"/>
        <v>370.6</v>
      </c>
      <c r="F97" s="187">
        <f t="shared" si="8"/>
        <v>452.1</v>
      </c>
      <c r="G97" s="186">
        <f t="shared" si="9"/>
        <v>7779.8</v>
      </c>
    </row>
    <row r="98" ht="14.25" customHeight="1">
      <c r="A98" s="183">
        <v>40.0</v>
      </c>
      <c r="B98" s="195">
        <v>47237.0</v>
      </c>
      <c r="C98" s="185"/>
      <c r="D98" s="186">
        <f t="shared" si="6"/>
        <v>77.8</v>
      </c>
      <c r="E98" s="186">
        <f t="shared" si="7"/>
        <v>370.6</v>
      </c>
      <c r="F98" s="187">
        <f t="shared" si="8"/>
        <v>448.4</v>
      </c>
      <c r="G98" s="186">
        <f t="shared" si="9"/>
        <v>7409.2</v>
      </c>
    </row>
    <row r="99" ht="14.25" customHeight="1">
      <c r="A99" s="183">
        <v>41.0</v>
      </c>
      <c r="B99" s="195">
        <v>47267.0</v>
      </c>
      <c r="C99" s="185"/>
      <c r="D99" s="186">
        <f t="shared" si="6"/>
        <v>74.1</v>
      </c>
      <c r="E99" s="186">
        <f t="shared" si="7"/>
        <v>370.6</v>
      </c>
      <c r="F99" s="187">
        <f t="shared" si="8"/>
        <v>444.7</v>
      </c>
      <c r="G99" s="186">
        <f t="shared" si="9"/>
        <v>7038.6</v>
      </c>
    </row>
    <row r="100" ht="14.25" customHeight="1">
      <c r="A100" s="183">
        <v>42.0</v>
      </c>
      <c r="B100" s="195">
        <v>47298.0</v>
      </c>
      <c r="C100" s="185"/>
      <c r="D100" s="186">
        <f t="shared" si="6"/>
        <v>70.4</v>
      </c>
      <c r="E100" s="186">
        <f t="shared" si="7"/>
        <v>370.6</v>
      </c>
      <c r="F100" s="187">
        <f t="shared" si="8"/>
        <v>441</v>
      </c>
      <c r="G100" s="186">
        <f t="shared" si="9"/>
        <v>6668</v>
      </c>
    </row>
    <row r="101" ht="14.25" customHeight="1">
      <c r="A101" s="183">
        <v>43.0</v>
      </c>
      <c r="B101" s="195">
        <v>47328.0</v>
      </c>
      <c r="C101" s="185"/>
      <c r="D101" s="186">
        <f t="shared" si="6"/>
        <v>66.7</v>
      </c>
      <c r="E101" s="186">
        <f t="shared" si="7"/>
        <v>370.6</v>
      </c>
      <c r="F101" s="187">
        <f t="shared" si="8"/>
        <v>437.3</v>
      </c>
      <c r="G101" s="186">
        <f t="shared" si="9"/>
        <v>6297.4</v>
      </c>
    </row>
    <row r="102" ht="14.25" customHeight="1">
      <c r="A102" s="183">
        <v>44.0</v>
      </c>
      <c r="B102" s="195">
        <v>47359.0</v>
      </c>
      <c r="C102" s="185"/>
      <c r="D102" s="186">
        <f t="shared" si="6"/>
        <v>63</v>
      </c>
      <c r="E102" s="186">
        <f t="shared" si="7"/>
        <v>370.6</v>
      </c>
      <c r="F102" s="187">
        <f t="shared" si="8"/>
        <v>433.6</v>
      </c>
      <c r="G102" s="186">
        <f t="shared" si="9"/>
        <v>5926.8</v>
      </c>
    </row>
    <row r="103" ht="14.25" customHeight="1">
      <c r="A103" s="183">
        <v>45.0</v>
      </c>
      <c r="B103" s="195">
        <v>47390.0</v>
      </c>
      <c r="C103" s="185"/>
      <c r="D103" s="186">
        <f t="shared" si="6"/>
        <v>59.3</v>
      </c>
      <c r="E103" s="186">
        <f t="shared" si="7"/>
        <v>370.6</v>
      </c>
      <c r="F103" s="187">
        <f t="shared" si="8"/>
        <v>429.9</v>
      </c>
      <c r="G103" s="186">
        <f t="shared" si="9"/>
        <v>5556.2</v>
      </c>
    </row>
    <row r="104" ht="14.25" customHeight="1">
      <c r="A104" s="183">
        <v>46.0</v>
      </c>
      <c r="B104" s="195">
        <v>47420.0</v>
      </c>
      <c r="C104" s="185"/>
      <c r="D104" s="186">
        <f t="shared" si="6"/>
        <v>55.6</v>
      </c>
      <c r="E104" s="186">
        <f t="shared" si="7"/>
        <v>370.6</v>
      </c>
      <c r="F104" s="187">
        <f t="shared" si="8"/>
        <v>426.2</v>
      </c>
      <c r="G104" s="186">
        <f t="shared" si="9"/>
        <v>5185.6</v>
      </c>
    </row>
    <row r="105" ht="14.25" customHeight="1">
      <c r="A105" s="183">
        <v>47.0</v>
      </c>
      <c r="B105" s="195">
        <v>47451.0</v>
      </c>
      <c r="C105" s="185"/>
      <c r="D105" s="186">
        <f t="shared" si="6"/>
        <v>51.9</v>
      </c>
      <c r="E105" s="186">
        <f t="shared" si="7"/>
        <v>370.6</v>
      </c>
      <c r="F105" s="187">
        <f t="shared" si="8"/>
        <v>422.5</v>
      </c>
      <c r="G105" s="186">
        <f t="shared" si="9"/>
        <v>4815</v>
      </c>
    </row>
    <row r="106" ht="14.25" customHeight="1">
      <c r="A106" s="183">
        <v>48.0</v>
      </c>
      <c r="B106" s="195">
        <v>47481.0</v>
      </c>
      <c r="C106" s="185"/>
      <c r="D106" s="186">
        <f t="shared" si="6"/>
        <v>48.2</v>
      </c>
      <c r="E106" s="186">
        <f t="shared" si="7"/>
        <v>370.6</v>
      </c>
      <c r="F106" s="187">
        <f t="shared" si="8"/>
        <v>418.8</v>
      </c>
      <c r="G106" s="186">
        <f t="shared" si="9"/>
        <v>4444.4</v>
      </c>
    </row>
    <row r="107" ht="14.25" customHeight="1">
      <c r="A107" s="183">
        <v>49.0</v>
      </c>
      <c r="B107" s="195">
        <v>47512.0</v>
      </c>
      <c r="C107" s="185"/>
      <c r="D107" s="186">
        <f t="shared" si="6"/>
        <v>44.4</v>
      </c>
      <c r="E107" s="186">
        <f t="shared" si="7"/>
        <v>370.6</v>
      </c>
      <c r="F107" s="187">
        <f t="shared" si="8"/>
        <v>415</v>
      </c>
      <c r="G107" s="186">
        <f t="shared" si="9"/>
        <v>4073.8</v>
      </c>
    </row>
    <row r="108" ht="14.25" customHeight="1">
      <c r="A108" s="183">
        <v>50.0</v>
      </c>
      <c r="B108" s="195">
        <v>47542.0</v>
      </c>
      <c r="C108" s="185"/>
      <c r="D108" s="186">
        <f t="shared" si="6"/>
        <v>40.7</v>
      </c>
      <c r="E108" s="186">
        <f t="shared" si="7"/>
        <v>370.6</v>
      </c>
      <c r="F108" s="187">
        <f t="shared" si="8"/>
        <v>411.3</v>
      </c>
      <c r="G108" s="186">
        <f t="shared" si="9"/>
        <v>3703.2</v>
      </c>
    </row>
    <row r="109" ht="14.25" customHeight="1">
      <c r="A109" s="183">
        <v>51.0</v>
      </c>
      <c r="B109" s="195">
        <v>47571.0</v>
      </c>
      <c r="C109" s="185"/>
      <c r="D109" s="186">
        <f t="shared" si="6"/>
        <v>37</v>
      </c>
      <c r="E109" s="186">
        <f t="shared" si="7"/>
        <v>370.6</v>
      </c>
      <c r="F109" s="187">
        <f t="shared" si="8"/>
        <v>407.6</v>
      </c>
      <c r="G109" s="186">
        <f t="shared" si="9"/>
        <v>3332.6</v>
      </c>
    </row>
    <row r="110" ht="14.25" customHeight="1">
      <c r="A110" s="183">
        <v>52.0</v>
      </c>
      <c r="B110" s="195">
        <v>47602.0</v>
      </c>
      <c r="C110" s="185"/>
      <c r="D110" s="186">
        <f t="shared" si="6"/>
        <v>33.3</v>
      </c>
      <c r="E110" s="186">
        <f t="shared" si="7"/>
        <v>370.6</v>
      </c>
      <c r="F110" s="187">
        <f t="shared" si="8"/>
        <v>403.9</v>
      </c>
      <c r="G110" s="186">
        <f t="shared" si="9"/>
        <v>2962</v>
      </c>
    </row>
    <row r="111" ht="14.25" customHeight="1">
      <c r="A111" s="183">
        <v>53.0</v>
      </c>
      <c r="B111" s="195">
        <v>47632.0</v>
      </c>
      <c r="C111" s="185"/>
      <c r="D111" s="186">
        <f t="shared" si="6"/>
        <v>29.6</v>
      </c>
      <c r="E111" s="186">
        <f t="shared" si="7"/>
        <v>370.6</v>
      </c>
      <c r="F111" s="187">
        <f t="shared" si="8"/>
        <v>400.2</v>
      </c>
      <c r="G111" s="186">
        <f t="shared" si="9"/>
        <v>2591.4</v>
      </c>
    </row>
    <row r="112" ht="14.25" customHeight="1">
      <c r="A112" s="183">
        <v>54.0</v>
      </c>
      <c r="B112" s="195">
        <v>47663.0</v>
      </c>
      <c r="C112" s="185"/>
      <c r="D112" s="186">
        <f t="shared" si="6"/>
        <v>25.9</v>
      </c>
      <c r="E112" s="186">
        <f t="shared" si="7"/>
        <v>370.6</v>
      </c>
      <c r="F112" s="187">
        <f t="shared" si="8"/>
        <v>396.5</v>
      </c>
      <c r="G112" s="186">
        <f t="shared" si="9"/>
        <v>2220.8</v>
      </c>
    </row>
    <row r="113" ht="14.25" customHeight="1">
      <c r="A113" s="183">
        <v>55.0</v>
      </c>
      <c r="B113" s="195">
        <v>47693.0</v>
      </c>
      <c r="C113" s="185"/>
      <c r="D113" s="186">
        <f t="shared" si="6"/>
        <v>22.2</v>
      </c>
      <c r="E113" s="186">
        <f t="shared" si="7"/>
        <v>370.6</v>
      </c>
      <c r="F113" s="187">
        <f t="shared" si="8"/>
        <v>392.8</v>
      </c>
      <c r="G113" s="186">
        <f t="shared" si="9"/>
        <v>1850.2</v>
      </c>
    </row>
    <row r="114" ht="14.25" customHeight="1">
      <c r="A114" s="183">
        <v>56.0</v>
      </c>
      <c r="B114" s="195">
        <v>47724.0</v>
      </c>
      <c r="C114" s="185"/>
      <c r="D114" s="186">
        <f t="shared" si="6"/>
        <v>18.5</v>
      </c>
      <c r="E114" s="186">
        <f t="shared" si="7"/>
        <v>370.6</v>
      </c>
      <c r="F114" s="187">
        <f t="shared" si="8"/>
        <v>389.1</v>
      </c>
      <c r="G114" s="186">
        <f t="shared" si="9"/>
        <v>1479.6</v>
      </c>
    </row>
    <row r="115" ht="14.25" customHeight="1">
      <c r="A115" s="183">
        <v>57.0</v>
      </c>
      <c r="B115" s="195">
        <v>47755.0</v>
      </c>
      <c r="C115" s="185"/>
      <c r="D115" s="186">
        <f t="shared" si="6"/>
        <v>14.8</v>
      </c>
      <c r="E115" s="186">
        <f t="shared" si="7"/>
        <v>370.6</v>
      </c>
      <c r="F115" s="187">
        <f t="shared" si="8"/>
        <v>385.4</v>
      </c>
      <c r="G115" s="186">
        <f t="shared" si="9"/>
        <v>1109</v>
      </c>
    </row>
    <row r="116" ht="14.25" customHeight="1">
      <c r="A116" s="183">
        <v>58.0</v>
      </c>
      <c r="B116" s="195">
        <v>47785.0</v>
      </c>
      <c r="C116" s="185"/>
      <c r="D116" s="186">
        <f t="shared" si="6"/>
        <v>11.1</v>
      </c>
      <c r="E116" s="186">
        <f t="shared" si="7"/>
        <v>370.6</v>
      </c>
      <c r="F116" s="187">
        <f t="shared" si="8"/>
        <v>381.7</v>
      </c>
      <c r="G116" s="186">
        <f t="shared" si="9"/>
        <v>738.4</v>
      </c>
    </row>
    <row r="117" ht="14.25" customHeight="1">
      <c r="A117" s="183">
        <v>59.0</v>
      </c>
      <c r="B117" s="195">
        <v>47816.0</v>
      </c>
      <c r="C117" s="185"/>
      <c r="D117" s="186">
        <f t="shared" si="6"/>
        <v>7.4</v>
      </c>
      <c r="E117" s="186">
        <f t="shared" si="7"/>
        <v>370.6</v>
      </c>
      <c r="F117" s="187">
        <f t="shared" si="8"/>
        <v>378</v>
      </c>
      <c r="G117" s="186">
        <f t="shared" si="9"/>
        <v>367.8</v>
      </c>
    </row>
    <row r="118" ht="14.25" customHeight="1">
      <c r="A118" s="183">
        <v>60.0</v>
      </c>
      <c r="B118" s="195">
        <v>47846.0</v>
      </c>
      <c r="C118" s="185"/>
      <c r="D118" s="186">
        <f t="shared" si="6"/>
        <v>3.7</v>
      </c>
      <c r="E118" s="186">
        <f>ROUND($C$58/60,1)-2.8</f>
        <v>367.8</v>
      </c>
      <c r="F118" s="187">
        <f t="shared" si="8"/>
        <v>371.5</v>
      </c>
      <c r="G118" s="186">
        <f t="shared" si="9"/>
        <v>0</v>
      </c>
    </row>
    <row r="119" ht="14.25" customHeight="1">
      <c r="A119" s="171" t="s">
        <v>252</v>
      </c>
      <c r="B119" s="2"/>
      <c r="C119" s="3"/>
      <c r="D119" s="147">
        <f t="shared" ref="D119:F119" si="10">+SUM(D59:D118)</f>
        <v>6780.3</v>
      </c>
      <c r="E119" s="147">
        <f t="shared" si="10"/>
        <v>22233.2</v>
      </c>
      <c r="F119" s="147">
        <f t="shared" si="10"/>
        <v>29013.5</v>
      </c>
      <c r="G119" s="189"/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G1"/>
    <mergeCell ref="A2:G2"/>
    <mergeCell ref="A53:C53"/>
    <mergeCell ref="A55:G55"/>
    <mergeCell ref="A56:G56"/>
    <mergeCell ref="A119:C119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373</v>
      </c>
      <c r="B1" s="2"/>
      <c r="C1" s="2"/>
      <c r="D1" s="2"/>
      <c r="E1" s="2"/>
      <c r="F1" s="2"/>
      <c r="G1" s="3"/>
    </row>
    <row r="2" ht="14.25" customHeight="1">
      <c r="A2" s="129" t="s">
        <v>346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45837.0</v>
      </c>
      <c r="C4" s="133">
        <f>+J7</f>
        <v>23029.1</v>
      </c>
      <c r="D4" s="134">
        <v>0.01</v>
      </c>
      <c r="E4" s="135"/>
      <c r="F4" s="135"/>
      <c r="G4" s="135">
        <f>+C4</f>
        <v>23029.1</v>
      </c>
    </row>
    <row r="5" ht="14.25" customHeight="1">
      <c r="A5" s="136">
        <v>1.0</v>
      </c>
      <c r="B5" s="137">
        <v>45867.0</v>
      </c>
      <c r="C5" s="138"/>
      <c r="D5" s="138">
        <f t="shared" ref="D5:D88" si="1">+ROUND(G4*0.01,1)</f>
        <v>230.3</v>
      </c>
      <c r="E5" s="138">
        <f t="shared" ref="E5:E87" si="2">ROUNDUP($C$4/84,1)</f>
        <v>274.2</v>
      </c>
      <c r="F5" s="139">
        <f t="shared" ref="F5:F88" si="3">+ROUND(D5+E5,1)</f>
        <v>504.5</v>
      </c>
      <c r="G5" s="138">
        <f t="shared" ref="G5:G88" si="4">+ROUND(G4-E5,1)</f>
        <v>22754.9</v>
      </c>
      <c r="I5" s="140" t="s">
        <v>209</v>
      </c>
      <c r="J5" s="141">
        <v>10029.10000000002</v>
      </c>
    </row>
    <row r="6" ht="14.25" customHeight="1">
      <c r="A6" s="136">
        <v>2.0</v>
      </c>
      <c r="B6" s="137">
        <v>45898.0</v>
      </c>
      <c r="C6" s="144"/>
      <c r="D6" s="138">
        <f t="shared" si="1"/>
        <v>227.5</v>
      </c>
      <c r="E6" s="138">
        <f t="shared" si="2"/>
        <v>274.2</v>
      </c>
      <c r="F6" s="139">
        <f t="shared" si="3"/>
        <v>501.7</v>
      </c>
      <c r="G6" s="138">
        <f t="shared" si="4"/>
        <v>22480.7</v>
      </c>
      <c r="I6" s="140" t="s">
        <v>331</v>
      </c>
      <c r="J6" s="141">
        <v>13000.0</v>
      </c>
    </row>
    <row r="7" ht="14.25" customHeight="1">
      <c r="A7" s="136">
        <v>3.0</v>
      </c>
      <c r="B7" s="137">
        <v>45929.0</v>
      </c>
      <c r="C7" s="144"/>
      <c r="D7" s="138">
        <f t="shared" si="1"/>
        <v>224.8</v>
      </c>
      <c r="E7" s="138">
        <f t="shared" si="2"/>
        <v>274.2</v>
      </c>
      <c r="F7" s="139">
        <f t="shared" si="3"/>
        <v>499</v>
      </c>
      <c r="G7" s="138">
        <f t="shared" si="4"/>
        <v>22206.5</v>
      </c>
      <c r="I7" s="142" t="s">
        <v>252</v>
      </c>
      <c r="J7" s="143">
        <f>+SUM(J5:J6)</f>
        <v>23029.1</v>
      </c>
    </row>
    <row r="8" ht="14.25" customHeight="1">
      <c r="A8" s="136">
        <v>4.0</v>
      </c>
      <c r="B8" s="137">
        <v>45959.0</v>
      </c>
      <c r="C8" s="145"/>
      <c r="D8" s="138">
        <f t="shared" si="1"/>
        <v>222.1</v>
      </c>
      <c r="E8" s="138">
        <f t="shared" si="2"/>
        <v>274.2</v>
      </c>
      <c r="F8" s="139">
        <f t="shared" si="3"/>
        <v>496.3</v>
      </c>
      <c r="G8" s="138">
        <f t="shared" si="4"/>
        <v>21932.3</v>
      </c>
    </row>
    <row r="9" ht="14.25" customHeight="1">
      <c r="A9" s="136">
        <v>5.0</v>
      </c>
      <c r="B9" s="137">
        <v>45990.0</v>
      </c>
      <c r="C9" s="145"/>
      <c r="D9" s="138">
        <f t="shared" si="1"/>
        <v>219.3</v>
      </c>
      <c r="E9" s="138">
        <f t="shared" si="2"/>
        <v>274.2</v>
      </c>
      <c r="F9" s="139">
        <f t="shared" si="3"/>
        <v>493.5</v>
      </c>
      <c r="G9" s="138">
        <f t="shared" si="4"/>
        <v>21658.1</v>
      </c>
    </row>
    <row r="10" ht="14.25" customHeight="1">
      <c r="A10" s="136">
        <v>6.0</v>
      </c>
      <c r="B10" s="137">
        <v>46020.0</v>
      </c>
      <c r="C10" s="145"/>
      <c r="D10" s="138">
        <f t="shared" si="1"/>
        <v>216.6</v>
      </c>
      <c r="E10" s="138">
        <f t="shared" si="2"/>
        <v>274.2</v>
      </c>
      <c r="F10" s="139">
        <f t="shared" si="3"/>
        <v>490.8</v>
      </c>
      <c r="G10" s="138">
        <f t="shared" si="4"/>
        <v>21383.9</v>
      </c>
    </row>
    <row r="11" ht="14.25" customHeight="1">
      <c r="A11" s="131">
        <v>7.0</v>
      </c>
      <c r="B11" s="132">
        <v>46051.0</v>
      </c>
      <c r="C11" s="146"/>
      <c r="D11" s="135">
        <f t="shared" si="1"/>
        <v>213.8</v>
      </c>
      <c r="E11" s="135">
        <f t="shared" si="2"/>
        <v>274.2</v>
      </c>
      <c r="F11" s="133">
        <f t="shared" si="3"/>
        <v>488</v>
      </c>
      <c r="G11" s="135">
        <f t="shared" si="4"/>
        <v>21109.7</v>
      </c>
    </row>
    <row r="12" ht="14.25" customHeight="1">
      <c r="A12" s="131">
        <v>8.0</v>
      </c>
      <c r="B12" s="132">
        <v>46081.0</v>
      </c>
      <c r="C12" s="146"/>
      <c r="D12" s="135">
        <f t="shared" si="1"/>
        <v>211.1</v>
      </c>
      <c r="E12" s="135">
        <f t="shared" si="2"/>
        <v>274.2</v>
      </c>
      <c r="F12" s="133">
        <f t="shared" si="3"/>
        <v>485.3</v>
      </c>
      <c r="G12" s="135">
        <f t="shared" si="4"/>
        <v>20835.5</v>
      </c>
    </row>
    <row r="13" ht="14.25" customHeight="1">
      <c r="A13" s="131">
        <v>9.0</v>
      </c>
      <c r="B13" s="132">
        <v>46110.0</v>
      </c>
      <c r="C13" s="146"/>
      <c r="D13" s="135">
        <f t="shared" si="1"/>
        <v>208.4</v>
      </c>
      <c r="E13" s="135">
        <f t="shared" si="2"/>
        <v>274.2</v>
      </c>
      <c r="F13" s="133">
        <f t="shared" si="3"/>
        <v>482.6</v>
      </c>
      <c r="G13" s="135">
        <f t="shared" si="4"/>
        <v>20561.3</v>
      </c>
    </row>
    <row r="14" ht="14.25" customHeight="1">
      <c r="A14" s="131">
        <v>10.0</v>
      </c>
      <c r="B14" s="132">
        <v>46141.0</v>
      </c>
      <c r="C14" s="146"/>
      <c r="D14" s="135">
        <f t="shared" si="1"/>
        <v>205.6</v>
      </c>
      <c r="E14" s="135">
        <f t="shared" si="2"/>
        <v>274.2</v>
      </c>
      <c r="F14" s="133">
        <f t="shared" si="3"/>
        <v>479.8</v>
      </c>
      <c r="G14" s="135">
        <f t="shared" si="4"/>
        <v>20287.1</v>
      </c>
    </row>
    <row r="15" ht="14.25" customHeight="1">
      <c r="A15" s="131">
        <v>11.0</v>
      </c>
      <c r="B15" s="132">
        <v>46171.0</v>
      </c>
      <c r="C15" s="146"/>
      <c r="D15" s="135">
        <f t="shared" si="1"/>
        <v>202.9</v>
      </c>
      <c r="E15" s="135">
        <f t="shared" si="2"/>
        <v>274.2</v>
      </c>
      <c r="F15" s="133">
        <f t="shared" si="3"/>
        <v>477.1</v>
      </c>
      <c r="G15" s="135">
        <f t="shared" si="4"/>
        <v>20012.9</v>
      </c>
    </row>
    <row r="16" ht="14.25" customHeight="1">
      <c r="A16" s="131">
        <v>12.0</v>
      </c>
      <c r="B16" s="132">
        <v>46202.0</v>
      </c>
      <c r="C16" s="146"/>
      <c r="D16" s="135">
        <f t="shared" si="1"/>
        <v>200.1</v>
      </c>
      <c r="E16" s="135">
        <f t="shared" si="2"/>
        <v>274.2</v>
      </c>
      <c r="F16" s="133">
        <f t="shared" si="3"/>
        <v>474.3</v>
      </c>
      <c r="G16" s="135">
        <f t="shared" si="4"/>
        <v>19738.7</v>
      </c>
    </row>
    <row r="17" ht="14.25" customHeight="1">
      <c r="A17" s="131">
        <v>13.0</v>
      </c>
      <c r="B17" s="132">
        <v>46232.0</v>
      </c>
      <c r="C17" s="146"/>
      <c r="D17" s="135">
        <f t="shared" si="1"/>
        <v>197.4</v>
      </c>
      <c r="E17" s="135">
        <f t="shared" si="2"/>
        <v>274.2</v>
      </c>
      <c r="F17" s="133">
        <f t="shared" si="3"/>
        <v>471.6</v>
      </c>
      <c r="G17" s="135">
        <f t="shared" si="4"/>
        <v>19464.5</v>
      </c>
    </row>
    <row r="18" ht="14.25" customHeight="1">
      <c r="A18" s="131">
        <v>14.0</v>
      </c>
      <c r="B18" s="132">
        <v>46263.0</v>
      </c>
      <c r="C18" s="146"/>
      <c r="D18" s="135">
        <f t="shared" si="1"/>
        <v>194.6</v>
      </c>
      <c r="E18" s="135">
        <f t="shared" si="2"/>
        <v>274.2</v>
      </c>
      <c r="F18" s="133">
        <f t="shared" si="3"/>
        <v>468.8</v>
      </c>
      <c r="G18" s="135">
        <f t="shared" si="4"/>
        <v>19190.3</v>
      </c>
    </row>
    <row r="19" ht="14.25" customHeight="1">
      <c r="A19" s="131">
        <v>15.0</v>
      </c>
      <c r="B19" s="132">
        <v>46294.0</v>
      </c>
      <c r="C19" s="146"/>
      <c r="D19" s="135">
        <f t="shared" si="1"/>
        <v>191.9</v>
      </c>
      <c r="E19" s="135">
        <f t="shared" si="2"/>
        <v>274.2</v>
      </c>
      <c r="F19" s="133">
        <f t="shared" si="3"/>
        <v>466.1</v>
      </c>
      <c r="G19" s="135">
        <f t="shared" si="4"/>
        <v>18916.1</v>
      </c>
    </row>
    <row r="20" ht="14.25" customHeight="1">
      <c r="A20" s="131">
        <v>16.0</v>
      </c>
      <c r="B20" s="132">
        <v>46324.0</v>
      </c>
      <c r="C20" s="146"/>
      <c r="D20" s="135">
        <f t="shared" si="1"/>
        <v>189.2</v>
      </c>
      <c r="E20" s="135">
        <f t="shared" si="2"/>
        <v>274.2</v>
      </c>
      <c r="F20" s="133">
        <f t="shared" si="3"/>
        <v>463.4</v>
      </c>
      <c r="G20" s="135">
        <f t="shared" si="4"/>
        <v>18641.9</v>
      </c>
    </row>
    <row r="21" ht="14.25" customHeight="1">
      <c r="A21" s="131">
        <v>17.0</v>
      </c>
      <c r="B21" s="132">
        <v>46355.0</v>
      </c>
      <c r="C21" s="146"/>
      <c r="D21" s="135">
        <f t="shared" si="1"/>
        <v>186.4</v>
      </c>
      <c r="E21" s="135">
        <f t="shared" si="2"/>
        <v>274.2</v>
      </c>
      <c r="F21" s="133">
        <f t="shared" si="3"/>
        <v>460.6</v>
      </c>
      <c r="G21" s="135">
        <f t="shared" si="4"/>
        <v>18367.7</v>
      </c>
    </row>
    <row r="22" ht="14.25" customHeight="1">
      <c r="A22" s="131">
        <v>18.0</v>
      </c>
      <c r="B22" s="132">
        <v>46385.0</v>
      </c>
      <c r="C22" s="146"/>
      <c r="D22" s="135">
        <f t="shared" si="1"/>
        <v>183.7</v>
      </c>
      <c r="E22" s="135">
        <f t="shared" si="2"/>
        <v>274.2</v>
      </c>
      <c r="F22" s="133">
        <f t="shared" si="3"/>
        <v>457.9</v>
      </c>
      <c r="G22" s="135">
        <f t="shared" si="4"/>
        <v>18093.5</v>
      </c>
    </row>
    <row r="23" ht="14.25" customHeight="1">
      <c r="A23" s="131">
        <v>19.0</v>
      </c>
      <c r="B23" s="132">
        <v>46416.0</v>
      </c>
      <c r="C23" s="146"/>
      <c r="D23" s="135">
        <f t="shared" si="1"/>
        <v>180.9</v>
      </c>
      <c r="E23" s="135">
        <f t="shared" si="2"/>
        <v>274.2</v>
      </c>
      <c r="F23" s="133">
        <f t="shared" si="3"/>
        <v>455.1</v>
      </c>
      <c r="G23" s="135">
        <f t="shared" si="4"/>
        <v>17819.3</v>
      </c>
    </row>
    <row r="24" ht="14.25" customHeight="1">
      <c r="A24" s="131">
        <v>20.0</v>
      </c>
      <c r="B24" s="132">
        <v>46446.0</v>
      </c>
      <c r="C24" s="146"/>
      <c r="D24" s="135">
        <f t="shared" si="1"/>
        <v>178.2</v>
      </c>
      <c r="E24" s="135">
        <f t="shared" si="2"/>
        <v>274.2</v>
      </c>
      <c r="F24" s="133">
        <f t="shared" si="3"/>
        <v>452.4</v>
      </c>
      <c r="G24" s="135">
        <f t="shared" si="4"/>
        <v>17545.1</v>
      </c>
    </row>
    <row r="25" ht="14.25" customHeight="1">
      <c r="A25" s="131">
        <v>21.0</v>
      </c>
      <c r="B25" s="132">
        <v>46475.0</v>
      </c>
      <c r="C25" s="146"/>
      <c r="D25" s="135">
        <f t="shared" si="1"/>
        <v>175.5</v>
      </c>
      <c r="E25" s="135">
        <f t="shared" si="2"/>
        <v>274.2</v>
      </c>
      <c r="F25" s="133">
        <f t="shared" si="3"/>
        <v>449.7</v>
      </c>
      <c r="G25" s="135">
        <f t="shared" si="4"/>
        <v>17270.9</v>
      </c>
    </row>
    <row r="26" ht="14.25" customHeight="1">
      <c r="A26" s="131">
        <v>22.0</v>
      </c>
      <c r="B26" s="132">
        <v>46506.0</v>
      </c>
      <c r="C26" s="146"/>
      <c r="D26" s="135">
        <f t="shared" si="1"/>
        <v>172.7</v>
      </c>
      <c r="E26" s="135">
        <f t="shared" si="2"/>
        <v>274.2</v>
      </c>
      <c r="F26" s="133">
        <f t="shared" si="3"/>
        <v>446.9</v>
      </c>
      <c r="G26" s="135">
        <f t="shared" si="4"/>
        <v>16996.7</v>
      </c>
    </row>
    <row r="27" ht="14.25" customHeight="1">
      <c r="A27" s="131">
        <v>23.0</v>
      </c>
      <c r="B27" s="132">
        <v>46536.0</v>
      </c>
      <c r="C27" s="146"/>
      <c r="D27" s="135">
        <f t="shared" si="1"/>
        <v>170</v>
      </c>
      <c r="E27" s="135">
        <f t="shared" si="2"/>
        <v>274.2</v>
      </c>
      <c r="F27" s="133">
        <f t="shared" si="3"/>
        <v>444.2</v>
      </c>
      <c r="G27" s="135">
        <f t="shared" si="4"/>
        <v>16722.5</v>
      </c>
    </row>
    <row r="28" ht="14.25" customHeight="1">
      <c r="A28" s="131">
        <v>24.0</v>
      </c>
      <c r="B28" s="132">
        <v>46567.0</v>
      </c>
      <c r="C28" s="146"/>
      <c r="D28" s="135">
        <f t="shared" si="1"/>
        <v>167.2</v>
      </c>
      <c r="E28" s="135">
        <f t="shared" si="2"/>
        <v>274.2</v>
      </c>
      <c r="F28" s="133">
        <f t="shared" si="3"/>
        <v>441.4</v>
      </c>
      <c r="G28" s="135">
        <f t="shared" si="4"/>
        <v>16448.3</v>
      </c>
    </row>
    <row r="29" ht="14.25" customHeight="1">
      <c r="A29" s="131">
        <v>25.0</v>
      </c>
      <c r="B29" s="132">
        <v>46597.0</v>
      </c>
      <c r="C29" s="146"/>
      <c r="D29" s="135">
        <f t="shared" si="1"/>
        <v>164.5</v>
      </c>
      <c r="E29" s="135">
        <f t="shared" si="2"/>
        <v>274.2</v>
      </c>
      <c r="F29" s="133">
        <f t="shared" si="3"/>
        <v>438.7</v>
      </c>
      <c r="G29" s="135">
        <f t="shared" si="4"/>
        <v>16174.1</v>
      </c>
    </row>
    <row r="30" ht="14.25" customHeight="1">
      <c r="A30" s="131">
        <v>26.0</v>
      </c>
      <c r="B30" s="132">
        <v>46628.0</v>
      </c>
      <c r="C30" s="146"/>
      <c r="D30" s="135">
        <f t="shared" si="1"/>
        <v>161.7</v>
      </c>
      <c r="E30" s="135">
        <f t="shared" si="2"/>
        <v>274.2</v>
      </c>
      <c r="F30" s="133">
        <f t="shared" si="3"/>
        <v>435.9</v>
      </c>
      <c r="G30" s="135">
        <f t="shared" si="4"/>
        <v>15899.9</v>
      </c>
    </row>
    <row r="31" ht="14.25" customHeight="1">
      <c r="A31" s="131">
        <v>27.0</v>
      </c>
      <c r="B31" s="132">
        <v>46659.0</v>
      </c>
      <c r="C31" s="146"/>
      <c r="D31" s="135">
        <f t="shared" si="1"/>
        <v>159</v>
      </c>
      <c r="E31" s="135">
        <f t="shared" si="2"/>
        <v>274.2</v>
      </c>
      <c r="F31" s="133">
        <f t="shared" si="3"/>
        <v>433.2</v>
      </c>
      <c r="G31" s="135">
        <f t="shared" si="4"/>
        <v>15625.7</v>
      </c>
    </row>
    <row r="32" ht="14.25" customHeight="1">
      <c r="A32" s="131">
        <v>28.0</v>
      </c>
      <c r="B32" s="132">
        <v>46689.0</v>
      </c>
      <c r="C32" s="146"/>
      <c r="D32" s="135">
        <f t="shared" si="1"/>
        <v>156.3</v>
      </c>
      <c r="E32" s="135">
        <f t="shared" si="2"/>
        <v>274.2</v>
      </c>
      <c r="F32" s="133">
        <f t="shared" si="3"/>
        <v>430.5</v>
      </c>
      <c r="G32" s="135">
        <f t="shared" si="4"/>
        <v>15351.5</v>
      </c>
    </row>
    <row r="33" ht="14.25" customHeight="1">
      <c r="A33" s="131">
        <v>29.0</v>
      </c>
      <c r="B33" s="132">
        <v>46720.0</v>
      </c>
      <c r="C33" s="146"/>
      <c r="D33" s="135">
        <f t="shared" si="1"/>
        <v>153.5</v>
      </c>
      <c r="E33" s="135">
        <f t="shared" si="2"/>
        <v>274.2</v>
      </c>
      <c r="F33" s="133">
        <f t="shared" si="3"/>
        <v>427.7</v>
      </c>
      <c r="G33" s="135">
        <f t="shared" si="4"/>
        <v>15077.3</v>
      </c>
    </row>
    <row r="34" ht="14.25" customHeight="1">
      <c r="A34" s="131">
        <v>30.0</v>
      </c>
      <c r="B34" s="132">
        <v>46750.0</v>
      </c>
      <c r="C34" s="146"/>
      <c r="D34" s="135">
        <f t="shared" si="1"/>
        <v>150.8</v>
      </c>
      <c r="E34" s="135">
        <f t="shared" si="2"/>
        <v>274.2</v>
      </c>
      <c r="F34" s="133">
        <f t="shared" si="3"/>
        <v>425</v>
      </c>
      <c r="G34" s="135">
        <f t="shared" si="4"/>
        <v>14803.1</v>
      </c>
    </row>
    <row r="35" ht="14.25" customHeight="1">
      <c r="A35" s="131">
        <v>31.0</v>
      </c>
      <c r="B35" s="132">
        <v>46781.0</v>
      </c>
      <c r="C35" s="146"/>
      <c r="D35" s="135">
        <f t="shared" si="1"/>
        <v>148</v>
      </c>
      <c r="E35" s="135">
        <f t="shared" si="2"/>
        <v>274.2</v>
      </c>
      <c r="F35" s="133">
        <f t="shared" si="3"/>
        <v>422.2</v>
      </c>
      <c r="G35" s="135">
        <f t="shared" si="4"/>
        <v>14528.9</v>
      </c>
    </row>
    <row r="36" ht="14.25" customHeight="1">
      <c r="A36" s="131">
        <v>32.0</v>
      </c>
      <c r="B36" s="132">
        <v>46812.0</v>
      </c>
      <c r="C36" s="146"/>
      <c r="D36" s="135">
        <f t="shared" si="1"/>
        <v>145.3</v>
      </c>
      <c r="E36" s="135">
        <f t="shared" si="2"/>
        <v>274.2</v>
      </c>
      <c r="F36" s="133">
        <f t="shared" si="3"/>
        <v>419.5</v>
      </c>
      <c r="G36" s="135">
        <f t="shared" si="4"/>
        <v>14254.7</v>
      </c>
    </row>
    <row r="37" ht="14.25" customHeight="1">
      <c r="A37" s="131">
        <v>33.0</v>
      </c>
      <c r="B37" s="132">
        <v>46841.0</v>
      </c>
      <c r="C37" s="146"/>
      <c r="D37" s="135">
        <f t="shared" si="1"/>
        <v>142.5</v>
      </c>
      <c r="E37" s="135">
        <f t="shared" si="2"/>
        <v>274.2</v>
      </c>
      <c r="F37" s="133">
        <f t="shared" si="3"/>
        <v>416.7</v>
      </c>
      <c r="G37" s="135">
        <f t="shared" si="4"/>
        <v>13980.5</v>
      </c>
    </row>
    <row r="38" ht="14.25" customHeight="1">
      <c r="A38" s="131">
        <v>34.0</v>
      </c>
      <c r="B38" s="132">
        <v>46872.0</v>
      </c>
      <c r="C38" s="146"/>
      <c r="D38" s="135">
        <f t="shared" si="1"/>
        <v>139.8</v>
      </c>
      <c r="E38" s="135">
        <f t="shared" si="2"/>
        <v>274.2</v>
      </c>
      <c r="F38" s="133">
        <f t="shared" si="3"/>
        <v>414</v>
      </c>
      <c r="G38" s="135">
        <f t="shared" si="4"/>
        <v>13706.3</v>
      </c>
    </row>
    <row r="39" ht="14.25" customHeight="1">
      <c r="A39" s="131">
        <v>35.0</v>
      </c>
      <c r="B39" s="132">
        <v>46902.0</v>
      </c>
      <c r="C39" s="146"/>
      <c r="D39" s="135">
        <f t="shared" si="1"/>
        <v>137.1</v>
      </c>
      <c r="E39" s="135">
        <f t="shared" si="2"/>
        <v>274.2</v>
      </c>
      <c r="F39" s="133">
        <f t="shared" si="3"/>
        <v>411.3</v>
      </c>
      <c r="G39" s="135">
        <f t="shared" si="4"/>
        <v>13432.1</v>
      </c>
    </row>
    <row r="40" ht="14.25" customHeight="1">
      <c r="A40" s="131">
        <v>36.0</v>
      </c>
      <c r="B40" s="132">
        <v>46933.0</v>
      </c>
      <c r="C40" s="146"/>
      <c r="D40" s="135">
        <f t="shared" si="1"/>
        <v>134.3</v>
      </c>
      <c r="E40" s="135">
        <f t="shared" si="2"/>
        <v>274.2</v>
      </c>
      <c r="F40" s="133">
        <f t="shared" si="3"/>
        <v>408.5</v>
      </c>
      <c r="G40" s="135">
        <f t="shared" si="4"/>
        <v>13157.9</v>
      </c>
    </row>
    <row r="41" ht="14.25" customHeight="1">
      <c r="A41" s="131">
        <v>37.0</v>
      </c>
      <c r="B41" s="132">
        <v>46963.0</v>
      </c>
      <c r="C41" s="146"/>
      <c r="D41" s="135">
        <f t="shared" si="1"/>
        <v>131.6</v>
      </c>
      <c r="E41" s="135">
        <f t="shared" si="2"/>
        <v>274.2</v>
      </c>
      <c r="F41" s="133">
        <f t="shared" si="3"/>
        <v>405.8</v>
      </c>
      <c r="G41" s="135">
        <f t="shared" si="4"/>
        <v>12883.7</v>
      </c>
    </row>
    <row r="42" ht="14.25" customHeight="1">
      <c r="A42" s="131">
        <v>38.0</v>
      </c>
      <c r="B42" s="132">
        <v>46994.0</v>
      </c>
      <c r="C42" s="146"/>
      <c r="D42" s="135">
        <f t="shared" si="1"/>
        <v>128.8</v>
      </c>
      <c r="E42" s="135">
        <f t="shared" si="2"/>
        <v>274.2</v>
      </c>
      <c r="F42" s="133">
        <f t="shared" si="3"/>
        <v>403</v>
      </c>
      <c r="G42" s="135">
        <f t="shared" si="4"/>
        <v>12609.5</v>
      </c>
    </row>
    <row r="43" ht="14.25" customHeight="1">
      <c r="A43" s="131">
        <v>39.0</v>
      </c>
      <c r="B43" s="132">
        <v>47025.0</v>
      </c>
      <c r="C43" s="146"/>
      <c r="D43" s="135">
        <f t="shared" si="1"/>
        <v>126.1</v>
      </c>
      <c r="E43" s="135">
        <f t="shared" si="2"/>
        <v>274.2</v>
      </c>
      <c r="F43" s="133">
        <f t="shared" si="3"/>
        <v>400.3</v>
      </c>
      <c r="G43" s="135">
        <f t="shared" si="4"/>
        <v>12335.3</v>
      </c>
    </row>
    <row r="44" ht="14.25" customHeight="1">
      <c r="A44" s="131">
        <v>40.0</v>
      </c>
      <c r="B44" s="132">
        <v>47055.0</v>
      </c>
      <c r="C44" s="146"/>
      <c r="D44" s="135">
        <f t="shared" si="1"/>
        <v>123.4</v>
      </c>
      <c r="E44" s="135">
        <f t="shared" si="2"/>
        <v>274.2</v>
      </c>
      <c r="F44" s="133">
        <f t="shared" si="3"/>
        <v>397.6</v>
      </c>
      <c r="G44" s="135">
        <f t="shared" si="4"/>
        <v>12061.1</v>
      </c>
    </row>
    <row r="45" ht="14.25" customHeight="1">
      <c r="A45" s="131">
        <v>41.0</v>
      </c>
      <c r="B45" s="132">
        <v>47086.0</v>
      </c>
      <c r="C45" s="146"/>
      <c r="D45" s="135">
        <f t="shared" si="1"/>
        <v>120.6</v>
      </c>
      <c r="E45" s="135">
        <f t="shared" si="2"/>
        <v>274.2</v>
      </c>
      <c r="F45" s="133">
        <f t="shared" si="3"/>
        <v>394.8</v>
      </c>
      <c r="G45" s="135">
        <f t="shared" si="4"/>
        <v>11786.9</v>
      </c>
    </row>
    <row r="46" ht="14.25" customHeight="1">
      <c r="A46" s="131">
        <v>42.0</v>
      </c>
      <c r="B46" s="132">
        <v>47116.0</v>
      </c>
      <c r="C46" s="146"/>
      <c r="D46" s="135">
        <f t="shared" si="1"/>
        <v>117.9</v>
      </c>
      <c r="E46" s="135">
        <f t="shared" si="2"/>
        <v>274.2</v>
      </c>
      <c r="F46" s="133">
        <f t="shared" si="3"/>
        <v>392.1</v>
      </c>
      <c r="G46" s="135">
        <f t="shared" si="4"/>
        <v>11512.7</v>
      </c>
    </row>
    <row r="47" ht="14.25" customHeight="1">
      <c r="A47" s="131">
        <v>43.0</v>
      </c>
      <c r="B47" s="132">
        <v>47147.0</v>
      </c>
      <c r="C47" s="146"/>
      <c r="D47" s="135">
        <f t="shared" si="1"/>
        <v>115.1</v>
      </c>
      <c r="E47" s="135">
        <f t="shared" si="2"/>
        <v>274.2</v>
      </c>
      <c r="F47" s="133">
        <f t="shared" si="3"/>
        <v>389.3</v>
      </c>
      <c r="G47" s="135">
        <f t="shared" si="4"/>
        <v>11238.5</v>
      </c>
    </row>
    <row r="48" ht="14.25" customHeight="1">
      <c r="A48" s="131">
        <v>44.0</v>
      </c>
      <c r="B48" s="132">
        <v>47177.0</v>
      </c>
      <c r="C48" s="146"/>
      <c r="D48" s="135">
        <f t="shared" si="1"/>
        <v>112.4</v>
      </c>
      <c r="E48" s="135">
        <f t="shared" si="2"/>
        <v>274.2</v>
      </c>
      <c r="F48" s="133">
        <f t="shared" si="3"/>
        <v>386.6</v>
      </c>
      <c r="G48" s="135">
        <f t="shared" si="4"/>
        <v>10964.3</v>
      </c>
    </row>
    <row r="49" ht="14.25" customHeight="1">
      <c r="A49" s="131">
        <v>45.0</v>
      </c>
      <c r="B49" s="132">
        <v>47206.0</v>
      </c>
      <c r="C49" s="146"/>
      <c r="D49" s="135">
        <f t="shared" si="1"/>
        <v>109.6</v>
      </c>
      <c r="E49" s="135">
        <f t="shared" si="2"/>
        <v>274.2</v>
      </c>
      <c r="F49" s="133">
        <f t="shared" si="3"/>
        <v>383.8</v>
      </c>
      <c r="G49" s="135">
        <f t="shared" si="4"/>
        <v>10690.1</v>
      </c>
    </row>
    <row r="50" ht="14.25" customHeight="1">
      <c r="A50" s="131">
        <v>46.0</v>
      </c>
      <c r="B50" s="132">
        <v>47237.0</v>
      </c>
      <c r="C50" s="146"/>
      <c r="D50" s="135">
        <f t="shared" si="1"/>
        <v>106.9</v>
      </c>
      <c r="E50" s="135">
        <f t="shared" si="2"/>
        <v>274.2</v>
      </c>
      <c r="F50" s="133">
        <f t="shared" si="3"/>
        <v>381.1</v>
      </c>
      <c r="G50" s="135">
        <f t="shared" si="4"/>
        <v>10415.9</v>
      </c>
    </row>
    <row r="51" ht="14.25" customHeight="1">
      <c r="A51" s="131">
        <v>47.0</v>
      </c>
      <c r="B51" s="132">
        <v>47267.0</v>
      </c>
      <c r="C51" s="146"/>
      <c r="D51" s="135">
        <f t="shared" si="1"/>
        <v>104.2</v>
      </c>
      <c r="E51" s="135">
        <f t="shared" si="2"/>
        <v>274.2</v>
      </c>
      <c r="F51" s="133">
        <f t="shared" si="3"/>
        <v>378.4</v>
      </c>
      <c r="G51" s="135">
        <f t="shared" si="4"/>
        <v>10141.7</v>
      </c>
    </row>
    <row r="52" ht="14.25" customHeight="1">
      <c r="A52" s="131">
        <v>48.0</v>
      </c>
      <c r="B52" s="132">
        <v>47298.0</v>
      </c>
      <c r="C52" s="146"/>
      <c r="D52" s="135">
        <f t="shared" si="1"/>
        <v>101.4</v>
      </c>
      <c r="E52" s="135">
        <f t="shared" si="2"/>
        <v>274.2</v>
      </c>
      <c r="F52" s="133">
        <f t="shared" si="3"/>
        <v>375.6</v>
      </c>
      <c r="G52" s="135">
        <f t="shared" si="4"/>
        <v>9867.5</v>
      </c>
    </row>
    <row r="53" ht="14.25" customHeight="1">
      <c r="A53" s="131">
        <v>49.0</v>
      </c>
      <c r="B53" s="132">
        <v>47328.0</v>
      </c>
      <c r="C53" s="146"/>
      <c r="D53" s="135">
        <f t="shared" si="1"/>
        <v>98.7</v>
      </c>
      <c r="E53" s="135">
        <f t="shared" si="2"/>
        <v>274.2</v>
      </c>
      <c r="F53" s="133">
        <f t="shared" si="3"/>
        <v>372.9</v>
      </c>
      <c r="G53" s="135">
        <f t="shared" si="4"/>
        <v>9593.3</v>
      </c>
    </row>
    <row r="54" ht="14.25" customHeight="1">
      <c r="A54" s="131">
        <v>50.0</v>
      </c>
      <c r="B54" s="132">
        <v>47359.0</v>
      </c>
      <c r="C54" s="146"/>
      <c r="D54" s="135">
        <f t="shared" si="1"/>
        <v>95.9</v>
      </c>
      <c r="E54" s="135">
        <f t="shared" si="2"/>
        <v>274.2</v>
      </c>
      <c r="F54" s="133">
        <f t="shared" si="3"/>
        <v>370.1</v>
      </c>
      <c r="G54" s="135">
        <f t="shared" si="4"/>
        <v>9319.1</v>
      </c>
    </row>
    <row r="55" ht="14.25" customHeight="1">
      <c r="A55" s="131">
        <v>51.0</v>
      </c>
      <c r="B55" s="132">
        <v>47390.0</v>
      </c>
      <c r="C55" s="146"/>
      <c r="D55" s="135">
        <f t="shared" si="1"/>
        <v>93.2</v>
      </c>
      <c r="E55" s="135">
        <f t="shared" si="2"/>
        <v>274.2</v>
      </c>
      <c r="F55" s="133">
        <f t="shared" si="3"/>
        <v>367.4</v>
      </c>
      <c r="G55" s="135">
        <f t="shared" si="4"/>
        <v>9044.9</v>
      </c>
    </row>
    <row r="56" ht="14.25" customHeight="1">
      <c r="A56" s="131">
        <v>52.0</v>
      </c>
      <c r="B56" s="132">
        <v>47420.0</v>
      </c>
      <c r="C56" s="146"/>
      <c r="D56" s="135">
        <f t="shared" si="1"/>
        <v>90.4</v>
      </c>
      <c r="E56" s="135">
        <f t="shared" si="2"/>
        <v>274.2</v>
      </c>
      <c r="F56" s="133">
        <f t="shared" si="3"/>
        <v>364.6</v>
      </c>
      <c r="G56" s="135">
        <f t="shared" si="4"/>
        <v>8770.7</v>
      </c>
    </row>
    <row r="57" ht="14.25" customHeight="1">
      <c r="A57" s="131">
        <v>53.0</v>
      </c>
      <c r="B57" s="132">
        <v>47451.0</v>
      </c>
      <c r="C57" s="146"/>
      <c r="D57" s="135">
        <f t="shared" si="1"/>
        <v>87.7</v>
      </c>
      <c r="E57" s="135">
        <f t="shared" si="2"/>
        <v>274.2</v>
      </c>
      <c r="F57" s="133">
        <f t="shared" si="3"/>
        <v>361.9</v>
      </c>
      <c r="G57" s="135">
        <f t="shared" si="4"/>
        <v>8496.5</v>
      </c>
    </row>
    <row r="58" ht="14.25" customHeight="1">
      <c r="A58" s="131">
        <v>54.0</v>
      </c>
      <c r="B58" s="132">
        <v>47481.0</v>
      </c>
      <c r="C58" s="146"/>
      <c r="D58" s="135">
        <f t="shared" si="1"/>
        <v>85</v>
      </c>
      <c r="E58" s="135">
        <f t="shared" si="2"/>
        <v>274.2</v>
      </c>
      <c r="F58" s="133">
        <f t="shared" si="3"/>
        <v>359.2</v>
      </c>
      <c r="G58" s="135">
        <f t="shared" si="4"/>
        <v>8222.3</v>
      </c>
    </row>
    <row r="59" ht="14.25" customHeight="1">
      <c r="A59" s="131">
        <v>55.0</v>
      </c>
      <c r="B59" s="132">
        <v>47512.0</v>
      </c>
      <c r="C59" s="146"/>
      <c r="D59" s="135">
        <f t="shared" si="1"/>
        <v>82.2</v>
      </c>
      <c r="E59" s="135">
        <f t="shared" si="2"/>
        <v>274.2</v>
      </c>
      <c r="F59" s="133">
        <f t="shared" si="3"/>
        <v>356.4</v>
      </c>
      <c r="G59" s="135">
        <f t="shared" si="4"/>
        <v>7948.1</v>
      </c>
    </row>
    <row r="60" ht="14.25" customHeight="1">
      <c r="A60" s="131">
        <v>56.0</v>
      </c>
      <c r="B60" s="132">
        <v>47542.0</v>
      </c>
      <c r="C60" s="146"/>
      <c r="D60" s="135">
        <f t="shared" si="1"/>
        <v>79.5</v>
      </c>
      <c r="E60" s="135">
        <f t="shared" si="2"/>
        <v>274.2</v>
      </c>
      <c r="F60" s="133">
        <f t="shared" si="3"/>
        <v>353.7</v>
      </c>
      <c r="G60" s="135">
        <f t="shared" si="4"/>
        <v>7673.9</v>
      </c>
    </row>
    <row r="61" ht="14.25" customHeight="1">
      <c r="A61" s="131">
        <v>57.0</v>
      </c>
      <c r="B61" s="132">
        <v>47571.0</v>
      </c>
      <c r="C61" s="146"/>
      <c r="D61" s="135">
        <f t="shared" si="1"/>
        <v>76.7</v>
      </c>
      <c r="E61" s="135">
        <f t="shared" si="2"/>
        <v>274.2</v>
      </c>
      <c r="F61" s="133">
        <f t="shared" si="3"/>
        <v>350.9</v>
      </c>
      <c r="G61" s="135">
        <f t="shared" si="4"/>
        <v>7399.7</v>
      </c>
    </row>
    <row r="62" ht="14.25" customHeight="1">
      <c r="A62" s="131">
        <v>58.0</v>
      </c>
      <c r="B62" s="132">
        <v>47602.0</v>
      </c>
      <c r="C62" s="146"/>
      <c r="D62" s="135">
        <f t="shared" si="1"/>
        <v>74</v>
      </c>
      <c r="E62" s="135">
        <f t="shared" si="2"/>
        <v>274.2</v>
      </c>
      <c r="F62" s="133">
        <f t="shared" si="3"/>
        <v>348.2</v>
      </c>
      <c r="G62" s="135">
        <f t="shared" si="4"/>
        <v>7125.5</v>
      </c>
    </row>
    <row r="63" ht="14.25" customHeight="1">
      <c r="A63" s="131">
        <v>59.0</v>
      </c>
      <c r="B63" s="132">
        <v>47632.0</v>
      </c>
      <c r="C63" s="146"/>
      <c r="D63" s="135">
        <f t="shared" si="1"/>
        <v>71.3</v>
      </c>
      <c r="E63" s="135">
        <f t="shared" si="2"/>
        <v>274.2</v>
      </c>
      <c r="F63" s="133">
        <f t="shared" si="3"/>
        <v>345.5</v>
      </c>
      <c r="G63" s="135">
        <f t="shared" si="4"/>
        <v>6851.3</v>
      </c>
    </row>
    <row r="64" ht="14.25" customHeight="1">
      <c r="A64" s="131">
        <v>60.0</v>
      </c>
      <c r="B64" s="132">
        <v>47663.0</v>
      </c>
      <c r="C64" s="146"/>
      <c r="D64" s="135">
        <f t="shared" si="1"/>
        <v>68.5</v>
      </c>
      <c r="E64" s="135">
        <f t="shared" si="2"/>
        <v>274.2</v>
      </c>
      <c r="F64" s="133">
        <f t="shared" si="3"/>
        <v>342.7</v>
      </c>
      <c r="G64" s="135">
        <f t="shared" si="4"/>
        <v>6577.1</v>
      </c>
    </row>
    <row r="65" ht="14.25" customHeight="1">
      <c r="A65" s="131">
        <v>61.0</v>
      </c>
      <c r="B65" s="132">
        <v>47693.0</v>
      </c>
      <c r="C65" s="146"/>
      <c r="D65" s="135">
        <f t="shared" si="1"/>
        <v>65.8</v>
      </c>
      <c r="E65" s="135">
        <f t="shared" si="2"/>
        <v>274.2</v>
      </c>
      <c r="F65" s="133">
        <f t="shared" si="3"/>
        <v>340</v>
      </c>
      <c r="G65" s="135">
        <f t="shared" si="4"/>
        <v>6302.9</v>
      </c>
    </row>
    <row r="66" ht="14.25" customHeight="1">
      <c r="A66" s="131">
        <v>62.0</v>
      </c>
      <c r="B66" s="132">
        <v>47724.0</v>
      </c>
      <c r="C66" s="146"/>
      <c r="D66" s="135">
        <f t="shared" si="1"/>
        <v>63</v>
      </c>
      <c r="E66" s="135">
        <f t="shared" si="2"/>
        <v>274.2</v>
      </c>
      <c r="F66" s="133">
        <f t="shared" si="3"/>
        <v>337.2</v>
      </c>
      <c r="G66" s="135">
        <f t="shared" si="4"/>
        <v>6028.7</v>
      </c>
    </row>
    <row r="67" ht="14.25" customHeight="1">
      <c r="A67" s="131">
        <v>63.0</v>
      </c>
      <c r="B67" s="132">
        <v>47755.0</v>
      </c>
      <c r="C67" s="146"/>
      <c r="D67" s="135">
        <f t="shared" si="1"/>
        <v>60.3</v>
      </c>
      <c r="E67" s="135">
        <f t="shared" si="2"/>
        <v>274.2</v>
      </c>
      <c r="F67" s="133">
        <f t="shared" si="3"/>
        <v>334.5</v>
      </c>
      <c r="G67" s="135">
        <f t="shared" si="4"/>
        <v>5754.5</v>
      </c>
    </row>
    <row r="68" ht="14.25" customHeight="1">
      <c r="A68" s="131">
        <v>64.0</v>
      </c>
      <c r="B68" s="132">
        <v>47785.0</v>
      </c>
      <c r="C68" s="146"/>
      <c r="D68" s="135">
        <f t="shared" si="1"/>
        <v>57.5</v>
      </c>
      <c r="E68" s="135">
        <f t="shared" si="2"/>
        <v>274.2</v>
      </c>
      <c r="F68" s="133">
        <f t="shared" si="3"/>
        <v>331.7</v>
      </c>
      <c r="G68" s="135">
        <f t="shared" si="4"/>
        <v>5480.3</v>
      </c>
    </row>
    <row r="69" ht="14.25" customHeight="1">
      <c r="A69" s="131">
        <v>65.0</v>
      </c>
      <c r="B69" s="132">
        <v>47816.0</v>
      </c>
      <c r="C69" s="146"/>
      <c r="D69" s="135">
        <f t="shared" si="1"/>
        <v>54.8</v>
      </c>
      <c r="E69" s="135">
        <f t="shared" si="2"/>
        <v>274.2</v>
      </c>
      <c r="F69" s="133">
        <f t="shared" si="3"/>
        <v>329</v>
      </c>
      <c r="G69" s="135">
        <f t="shared" si="4"/>
        <v>5206.1</v>
      </c>
    </row>
    <row r="70" ht="14.25" customHeight="1">
      <c r="A70" s="131">
        <v>66.0</v>
      </c>
      <c r="B70" s="132">
        <v>47846.0</v>
      </c>
      <c r="C70" s="146"/>
      <c r="D70" s="135">
        <f t="shared" si="1"/>
        <v>52.1</v>
      </c>
      <c r="E70" s="135">
        <f t="shared" si="2"/>
        <v>274.2</v>
      </c>
      <c r="F70" s="133">
        <f t="shared" si="3"/>
        <v>326.3</v>
      </c>
      <c r="G70" s="135">
        <f t="shared" si="4"/>
        <v>4931.9</v>
      </c>
    </row>
    <row r="71" ht="14.25" customHeight="1">
      <c r="A71" s="131">
        <v>67.0</v>
      </c>
      <c r="B71" s="132">
        <v>47877.0</v>
      </c>
      <c r="C71" s="146"/>
      <c r="D71" s="135">
        <f t="shared" si="1"/>
        <v>49.3</v>
      </c>
      <c r="E71" s="135">
        <f t="shared" si="2"/>
        <v>274.2</v>
      </c>
      <c r="F71" s="133">
        <f t="shared" si="3"/>
        <v>323.5</v>
      </c>
      <c r="G71" s="135">
        <f t="shared" si="4"/>
        <v>4657.7</v>
      </c>
    </row>
    <row r="72" ht="14.25" customHeight="1">
      <c r="A72" s="131">
        <v>68.0</v>
      </c>
      <c r="B72" s="132">
        <v>47907.0</v>
      </c>
      <c r="C72" s="146"/>
      <c r="D72" s="135">
        <f t="shared" si="1"/>
        <v>46.6</v>
      </c>
      <c r="E72" s="135">
        <f t="shared" si="2"/>
        <v>274.2</v>
      </c>
      <c r="F72" s="133">
        <f t="shared" si="3"/>
        <v>320.8</v>
      </c>
      <c r="G72" s="135">
        <f t="shared" si="4"/>
        <v>4383.5</v>
      </c>
    </row>
    <row r="73" ht="14.25" customHeight="1">
      <c r="A73" s="131">
        <v>69.0</v>
      </c>
      <c r="B73" s="132">
        <v>47936.0</v>
      </c>
      <c r="C73" s="146"/>
      <c r="D73" s="135">
        <f t="shared" si="1"/>
        <v>43.8</v>
      </c>
      <c r="E73" s="135">
        <f t="shared" si="2"/>
        <v>274.2</v>
      </c>
      <c r="F73" s="133">
        <f t="shared" si="3"/>
        <v>318</v>
      </c>
      <c r="G73" s="135">
        <f t="shared" si="4"/>
        <v>4109.3</v>
      </c>
    </row>
    <row r="74" ht="14.25" customHeight="1">
      <c r="A74" s="131">
        <v>70.0</v>
      </c>
      <c r="B74" s="132">
        <v>47967.0</v>
      </c>
      <c r="C74" s="146"/>
      <c r="D74" s="135">
        <f t="shared" si="1"/>
        <v>41.1</v>
      </c>
      <c r="E74" s="135">
        <f t="shared" si="2"/>
        <v>274.2</v>
      </c>
      <c r="F74" s="133">
        <f t="shared" si="3"/>
        <v>315.3</v>
      </c>
      <c r="G74" s="135">
        <f t="shared" si="4"/>
        <v>3835.1</v>
      </c>
    </row>
    <row r="75" ht="14.25" customHeight="1">
      <c r="A75" s="131">
        <v>71.0</v>
      </c>
      <c r="B75" s="132">
        <v>47997.0</v>
      </c>
      <c r="C75" s="146"/>
      <c r="D75" s="135">
        <f t="shared" si="1"/>
        <v>38.4</v>
      </c>
      <c r="E75" s="135">
        <f t="shared" si="2"/>
        <v>274.2</v>
      </c>
      <c r="F75" s="133">
        <f t="shared" si="3"/>
        <v>312.6</v>
      </c>
      <c r="G75" s="135">
        <f t="shared" si="4"/>
        <v>3560.9</v>
      </c>
    </row>
    <row r="76" ht="14.25" customHeight="1">
      <c r="A76" s="131">
        <v>72.0</v>
      </c>
      <c r="B76" s="132">
        <v>48028.0</v>
      </c>
      <c r="C76" s="146"/>
      <c r="D76" s="135">
        <f t="shared" si="1"/>
        <v>35.6</v>
      </c>
      <c r="E76" s="135">
        <f t="shared" si="2"/>
        <v>274.2</v>
      </c>
      <c r="F76" s="133">
        <f t="shared" si="3"/>
        <v>309.8</v>
      </c>
      <c r="G76" s="135">
        <f t="shared" si="4"/>
        <v>3286.7</v>
      </c>
    </row>
    <row r="77" ht="14.25" customHeight="1">
      <c r="A77" s="131">
        <v>73.0</v>
      </c>
      <c r="B77" s="132">
        <v>48058.0</v>
      </c>
      <c r="C77" s="146"/>
      <c r="D77" s="135">
        <f t="shared" si="1"/>
        <v>32.9</v>
      </c>
      <c r="E77" s="135">
        <f t="shared" si="2"/>
        <v>274.2</v>
      </c>
      <c r="F77" s="133">
        <f t="shared" si="3"/>
        <v>307.1</v>
      </c>
      <c r="G77" s="135">
        <f t="shared" si="4"/>
        <v>3012.5</v>
      </c>
    </row>
    <row r="78" ht="14.25" customHeight="1">
      <c r="A78" s="131">
        <v>74.0</v>
      </c>
      <c r="B78" s="132">
        <v>48089.0</v>
      </c>
      <c r="C78" s="146"/>
      <c r="D78" s="135">
        <f t="shared" si="1"/>
        <v>30.1</v>
      </c>
      <c r="E78" s="135">
        <f t="shared" si="2"/>
        <v>274.2</v>
      </c>
      <c r="F78" s="133">
        <f t="shared" si="3"/>
        <v>304.3</v>
      </c>
      <c r="G78" s="135">
        <f t="shared" si="4"/>
        <v>2738.3</v>
      </c>
    </row>
    <row r="79" ht="14.25" customHeight="1">
      <c r="A79" s="131">
        <v>75.0</v>
      </c>
      <c r="B79" s="132">
        <v>48120.0</v>
      </c>
      <c r="C79" s="146"/>
      <c r="D79" s="135">
        <f t="shared" si="1"/>
        <v>27.4</v>
      </c>
      <c r="E79" s="135">
        <f t="shared" si="2"/>
        <v>274.2</v>
      </c>
      <c r="F79" s="133">
        <f t="shared" si="3"/>
        <v>301.6</v>
      </c>
      <c r="G79" s="135">
        <f t="shared" si="4"/>
        <v>2464.1</v>
      </c>
    </row>
    <row r="80" ht="14.25" customHeight="1">
      <c r="A80" s="131">
        <v>76.0</v>
      </c>
      <c r="B80" s="132">
        <v>48150.0</v>
      </c>
      <c r="C80" s="146"/>
      <c r="D80" s="135">
        <f t="shared" si="1"/>
        <v>24.6</v>
      </c>
      <c r="E80" s="135">
        <f t="shared" si="2"/>
        <v>274.2</v>
      </c>
      <c r="F80" s="133">
        <f t="shared" si="3"/>
        <v>298.8</v>
      </c>
      <c r="G80" s="135">
        <f t="shared" si="4"/>
        <v>2189.9</v>
      </c>
    </row>
    <row r="81" ht="14.25" customHeight="1">
      <c r="A81" s="131">
        <v>77.0</v>
      </c>
      <c r="B81" s="132">
        <v>48181.0</v>
      </c>
      <c r="C81" s="146"/>
      <c r="D81" s="135">
        <f t="shared" si="1"/>
        <v>21.9</v>
      </c>
      <c r="E81" s="135">
        <f t="shared" si="2"/>
        <v>274.2</v>
      </c>
      <c r="F81" s="133">
        <f t="shared" si="3"/>
        <v>296.1</v>
      </c>
      <c r="G81" s="135">
        <f t="shared" si="4"/>
        <v>1915.7</v>
      </c>
    </row>
    <row r="82" ht="14.25" customHeight="1">
      <c r="A82" s="131">
        <v>78.0</v>
      </c>
      <c r="B82" s="132">
        <v>48211.0</v>
      </c>
      <c r="C82" s="146"/>
      <c r="D82" s="135">
        <f t="shared" si="1"/>
        <v>19.2</v>
      </c>
      <c r="E82" s="135">
        <f t="shared" si="2"/>
        <v>274.2</v>
      </c>
      <c r="F82" s="133">
        <f t="shared" si="3"/>
        <v>293.4</v>
      </c>
      <c r="G82" s="135">
        <f t="shared" si="4"/>
        <v>1641.5</v>
      </c>
    </row>
    <row r="83" ht="14.25" customHeight="1">
      <c r="A83" s="131">
        <v>79.0</v>
      </c>
      <c r="B83" s="132">
        <v>48242.0</v>
      </c>
      <c r="C83" s="146"/>
      <c r="D83" s="135">
        <f t="shared" si="1"/>
        <v>16.4</v>
      </c>
      <c r="E83" s="135">
        <f t="shared" si="2"/>
        <v>274.2</v>
      </c>
      <c r="F83" s="133">
        <f t="shared" si="3"/>
        <v>290.6</v>
      </c>
      <c r="G83" s="135">
        <f t="shared" si="4"/>
        <v>1367.3</v>
      </c>
    </row>
    <row r="84" ht="14.25" customHeight="1">
      <c r="A84" s="131">
        <v>80.0</v>
      </c>
      <c r="B84" s="132">
        <v>48273.0</v>
      </c>
      <c r="C84" s="146"/>
      <c r="D84" s="135">
        <f t="shared" si="1"/>
        <v>13.7</v>
      </c>
      <c r="E84" s="135">
        <f t="shared" si="2"/>
        <v>274.2</v>
      </c>
      <c r="F84" s="133">
        <f t="shared" si="3"/>
        <v>287.9</v>
      </c>
      <c r="G84" s="135">
        <f t="shared" si="4"/>
        <v>1093.1</v>
      </c>
    </row>
    <row r="85" ht="14.25" customHeight="1">
      <c r="A85" s="131">
        <v>81.0</v>
      </c>
      <c r="B85" s="132">
        <v>48302.0</v>
      </c>
      <c r="C85" s="146"/>
      <c r="D85" s="135">
        <f t="shared" si="1"/>
        <v>10.9</v>
      </c>
      <c r="E85" s="135">
        <f t="shared" si="2"/>
        <v>274.2</v>
      </c>
      <c r="F85" s="133">
        <f t="shared" si="3"/>
        <v>285.1</v>
      </c>
      <c r="G85" s="135">
        <f t="shared" si="4"/>
        <v>818.9</v>
      </c>
    </row>
    <row r="86" ht="14.25" customHeight="1">
      <c r="A86" s="131">
        <v>82.0</v>
      </c>
      <c r="B86" s="132">
        <v>48333.0</v>
      </c>
      <c r="C86" s="146"/>
      <c r="D86" s="135">
        <f t="shared" si="1"/>
        <v>8.2</v>
      </c>
      <c r="E86" s="135">
        <f t="shared" si="2"/>
        <v>274.2</v>
      </c>
      <c r="F86" s="133">
        <f t="shared" si="3"/>
        <v>282.4</v>
      </c>
      <c r="G86" s="135">
        <f t="shared" si="4"/>
        <v>544.7</v>
      </c>
    </row>
    <row r="87" ht="14.25" customHeight="1">
      <c r="A87" s="131">
        <v>83.0</v>
      </c>
      <c r="B87" s="132">
        <v>48363.0</v>
      </c>
      <c r="C87" s="146"/>
      <c r="D87" s="135">
        <f t="shared" si="1"/>
        <v>5.4</v>
      </c>
      <c r="E87" s="135">
        <f t="shared" si="2"/>
        <v>274.2</v>
      </c>
      <c r="F87" s="133">
        <f t="shared" si="3"/>
        <v>279.6</v>
      </c>
      <c r="G87" s="135">
        <f t="shared" si="4"/>
        <v>270.5</v>
      </c>
    </row>
    <row r="88" ht="14.25" customHeight="1">
      <c r="A88" s="131">
        <v>84.0</v>
      </c>
      <c r="B88" s="132">
        <v>48394.0</v>
      </c>
      <c r="C88" s="146"/>
      <c r="D88" s="135">
        <f t="shared" si="1"/>
        <v>2.7</v>
      </c>
      <c r="E88" s="135">
        <f>ROUNDUP($C$4/84,1)-3.7</f>
        <v>270.5</v>
      </c>
      <c r="F88" s="133">
        <f t="shared" si="3"/>
        <v>273.2</v>
      </c>
      <c r="G88" s="135">
        <f t="shared" si="4"/>
        <v>0</v>
      </c>
    </row>
    <row r="89" ht="14.25" customHeight="1">
      <c r="A89" s="129" t="s">
        <v>252</v>
      </c>
      <c r="B89" s="2"/>
      <c r="C89" s="3"/>
      <c r="D89" s="147">
        <f t="shared" ref="D89:F89" si="5">+SUM(D5:D88)</f>
        <v>9785.8</v>
      </c>
      <c r="E89" s="147">
        <f t="shared" si="5"/>
        <v>23029.1</v>
      </c>
      <c r="F89" s="147">
        <f t="shared" si="5"/>
        <v>32814.9</v>
      </c>
      <c r="G89" s="148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374</v>
      </c>
      <c r="B1" s="2"/>
      <c r="C1" s="2"/>
      <c r="D1" s="2"/>
      <c r="E1" s="2"/>
      <c r="F1" s="2"/>
      <c r="G1" s="3"/>
    </row>
    <row r="2" ht="14.25" customHeight="1">
      <c r="A2" s="129" t="s">
        <v>375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45380.0</v>
      </c>
      <c r="C4" s="133">
        <f>+J7</f>
        <v>34156.9</v>
      </c>
      <c r="D4" s="134">
        <v>0.01</v>
      </c>
      <c r="E4" s="135"/>
      <c r="F4" s="135"/>
      <c r="G4" s="135">
        <f>+C4</f>
        <v>34156.9</v>
      </c>
    </row>
    <row r="5" ht="14.25" customHeight="1">
      <c r="A5" s="136">
        <v>1.0</v>
      </c>
      <c r="B5" s="137">
        <v>45411.0</v>
      </c>
      <c r="C5" s="138"/>
      <c r="D5" s="138">
        <f t="shared" ref="D5:D52" si="1">+ROUND(G4*0.01,1)</f>
        <v>341.6</v>
      </c>
      <c r="E5" s="138">
        <f>ROUNDUP($C$4/48,1)</f>
        <v>711.7</v>
      </c>
      <c r="F5" s="139">
        <f t="shared" ref="F5:F52" si="2">+ROUND(D5+E5,1)</f>
        <v>1053.3</v>
      </c>
      <c r="G5" s="138">
        <f t="shared" ref="G5:G52" si="3">+ROUND(G4-E5,1)</f>
        <v>33445.2</v>
      </c>
      <c r="I5" s="140" t="s">
        <v>209</v>
      </c>
      <c r="J5" s="141">
        <v>24156.899999999998</v>
      </c>
    </row>
    <row r="6" ht="14.25" customHeight="1">
      <c r="A6" s="136">
        <v>2.0</v>
      </c>
      <c r="B6" s="137">
        <v>45441.0</v>
      </c>
      <c r="C6" s="144"/>
      <c r="D6" s="138">
        <f t="shared" si="1"/>
        <v>334.5</v>
      </c>
      <c r="E6" s="138">
        <f t="shared" ref="E6:E52" si="4">ROUNDDOWN($C$4/48,1)</f>
        <v>711.6</v>
      </c>
      <c r="F6" s="139">
        <f t="shared" si="2"/>
        <v>1046.1</v>
      </c>
      <c r="G6" s="138">
        <f t="shared" si="3"/>
        <v>32733.6</v>
      </c>
      <c r="I6" s="140" t="s">
        <v>257</v>
      </c>
      <c r="J6" s="141">
        <v>10000.0</v>
      </c>
    </row>
    <row r="7" ht="14.25" customHeight="1">
      <c r="A7" s="136">
        <v>3.0</v>
      </c>
      <c r="B7" s="137">
        <v>45472.0</v>
      </c>
      <c r="C7" s="144"/>
      <c r="D7" s="138">
        <f t="shared" si="1"/>
        <v>327.3</v>
      </c>
      <c r="E7" s="138">
        <f t="shared" si="4"/>
        <v>711.6</v>
      </c>
      <c r="F7" s="139">
        <f t="shared" si="2"/>
        <v>1038.9</v>
      </c>
      <c r="G7" s="138">
        <f t="shared" si="3"/>
        <v>32022</v>
      </c>
      <c r="I7" s="142" t="s">
        <v>252</v>
      </c>
      <c r="J7" s="143">
        <f>+SUM(J5:J6)</f>
        <v>34156.9</v>
      </c>
    </row>
    <row r="8" ht="14.25" customHeight="1">
      <c r="A8" s="136">
        <v>4.0</v>
      </c>
      <c r="B8" s="137">
        <v>45502.0</v>
      </c>
      <c r="C8" s="144"/>
      <c r="D8" s="138">
        <f t="shared" si="1"/>
        <v>320.2</v>
      </c>
      <c r="E8" s="138">
        <f t="shared" si="4"/>
        <v>711.6</v>
      </c>
      <c r="F8" s="139">
        <f t="shared" si="2"/>
        <v>1031.8</v>
      </c>
      <c r="G8" s="138">
        <f t="shared" si="3"/>
        <v>31310.4</v>
      </c>
    </row>
    <row r="9" ht="14.25" customHeight="1">
      <c r="A9" s="136">
        <v>5.0</v>
      </c>
      <c r="B9" s="137">
        <v>45533.0</v>
      </c>
      <c r="C9" s="144"/>
      <c r="D9" s="138">
        <f t="shared" si="1"/>
        <v>313.1</v>
      </c>
      <c r="E9" s="138">
        <f t="shared" si="4"/>
        <v>711.6</v>
      </c>
      <c r="F9" s="139">
        <f t="shared" si="2"/>
        <v>1024.7</v>
      </c>
      <c r="G9" s="138">
        <f t="shared" si="3"/>
        <v>30598.8</v>
      </c>
    </row>
    <row r="10" ht="14.25" customHeight="1">
      <c r="A10" s="136">
        <v>6.0</v>
      </c>
      <c r="B10" s="137">
        <v>45564.0</v>
      </c>
      <c r="C10" s="144"/>
      <c r="D10" s="138">
        <f t="shared" si="1"/>
        <v>306</v>
      </c>
      <c r="E10" s="138">
        <f t="shared" si="4"/>
        <v>711.6</v>
      </c>
      <c r="F10" s="139">
        <f t="shared" si="2"/>
        <v>1017.6</v>
      </c>
      <c r="G10" s="138">
        <f t="shared" si="3"/>
        <v>29887.2</v>
      </c>
    </row>
    <row r="11" ht="14.25" customHeight="1">
      <c r="A11" s="136">
        <v>7.0</v>
      </c>
      <c r="B11" s="137">
        <v>45594.0</v>
      </c>
      <c r="C11" s="144"/>
      <c r="D11" s="138">
        <f t="shared" si="1"/>
        <v>298.9</v>
      </c>
      <c r="E11" s="138">
        <f t="shared" si="4"/>
        <v>711.6</v>
      </c>
      <c r="F11" s="139">
        <f t="shared" si="2"/>
        <v>1010.5</v>
      </c>
      <c r="G11" s="138">
        <f t="shared" si="3"/>
        <v>29175.6</v>
      </c>
    </row>
    <row r="12" ht="14.25" customHeight="1">
      <c r="A12" s="136">
        <v>8.0</v>
      </c>
      <c r="B12" s="137">
        <v>45625.0</v>
      </c>
      <c r="C12" s="144"/>
      <c r="D12" s="138">
        <f t="shared" si="1"/>
        <v>291.8</v>
      </c>
      <c r="E12" s="138">
        <f t="shared" si="4"/>
        <v>711.6</v>
      </c>
      <c r="F12" s="139">
        <f t="shared" si="2"/>
        <v>1003.4</v>
      </c>
      <c r="G12" s="138">
        <f t="shared" si="3"/>
        <v>28464</v>
      </c>
    </row>
    <row r="13" ht="14.25" customHeight="1">
      <c r="A13" s="136">
        <v>9.0</v>
      </c>
      <c r="B13" s="137">
        <v>45655.0</v>
      </c>
      <c r="C13" s="144"/>
      <c r="D13" s="138">
        <f t="shared" si="1"/>
        <v>284.6</v>
      </c>
      <c r="E13" s="138">
        <f t="shared" si="4"/>
        <v>711.6</v>
      </c>
      <c r="F13" s="139">
        <f t="shared" si="2"/>
        <v>996.2</v>
      </c>
      <c r="G13" s="138">
        <f t="shared" si="3"/>
        <v>27752.4</v>
      </c>
    </row>
    <row r="14" ht="14.25" customHeight="1">
      <c r="A14" s="136">
        <v>10.0</v>
      </c>
      <c r="B14" s="137">
        <v>45686.0</v>
      </c>
      <c r="C14" s="144"/>
      <c r="D14" s="138">
        <f t="shared" si="1"/>
        <v>277.5</v>
      </c>
      <c r="E14" s="138">
        <f t="shared" si="4"/>
        <v>711.6</v>
      </c>
      <c r="F14" s="139">
        <f t="shared" si="2"/>
        <v>989.1</v>
      </c>
      <c r="G14" s="138">
        <f t="shared" si="3"/>
        <v>27040.8</v>
      </c>
    </row>
    <row r="15" ht="14.25" customHeight="1">
      <c r="A15" s="136">
        <v>11.0</v>
      </c>
      <c r="B15" s="137">
        <v>45716.0</v>
      </c>
      <c r="C15" s="144"/>
      <c r="D15" s="138">
        <f t="shared" si="1"/>
        <v>270.4</v>
      </c>
      <c r="E15" s="138">
        <f t="shared" si="4"/>
        <v>711.6</v>
      </c>
      <c r="F15" s="139">
        <f t="shared" si="2"/>
        <v>982</v>
      </c>
      <c r="G15" s="138">
        <f t="shared" si="3"/>
        <v>26329.2</v>
      </c>
    </row>
    <row r="16" ht="14.25" customHeight="1">
      <c r="A16" s="136">
        <v>12.0</v>
      </c>
      <c r="B16" s="137">
        <v>45745.0</v>
      </c>
      <c r="C16" s="144"/>
      <c r="D16" s="138">
        <f t="shared" si="1"/>
        <v>263.3</v>
      </c>
      <c r="E16" s="138">
        <f t="shared" si="4"/>
        <v>711.6</v>
      </c>
      <c r="F16" s="139">
        <f t="shared" si="2"/>
        <v>974.9</v>
      </c>
      <c r="G16" s="138">
        <f t="shared" si="3"/>
        <v>25617.6</v>
      </c>
    </row>
    <row r="17" ht="14.25" customHeight="1">
      <c r="A17" s="136">
        <v>13.0</v>
      </c>
      <c r="B17" s="137">
        <v>45776.0</v>
      </c>
      <c r="C17" s="144"/>
      <c r="D17" s="138">
        <f t="shared" si="1"/>
        <v>256.2</v>
      </c>
      <c r="E17" s="138">
        <f t="shared" si="4"/>
        <v>711.6</v>
      </c>
      <c r="F17" s="139">
        <f t="shared" si="2"/>
        <v>967.8</v>
      </c>
      <c r="G17" s="138">
        <f t="shared" si="3"/>
        <v>24906</v>
      </c>
    </row>
    <row r="18" ht="14.25" customHeight="1">
      <c r="A18" s="136">
        <v>14.0</v>
      </c>
      <c r="B18" s="137">
        <v>45806.0</v>
      </c>
      <c r="C18" s="144"/>
      <c r="D18" s="138">
        <f t="shared" si="1"/>
        <v>249.1</v>
      </c>
      <c r="E18" s="138">
        <f t="shared" si="4"/>
        <v>711.6</v>
      </c>
      <c r="F18" s="139">
        <f t="shared" si="2"/>
        <v>960.7</v>
      </c>
      <c r="G18" s="138">
        <f t="shared" si="3"/>
        <v>24194.4</v>
      </c>
    </row>
    <row r="19" ht="14.25" customHeight="1">
      <c r="A19" s="136">
        <v>15.0</v>
      </c>
      <c r="B19" s="137">
        <v>45837.0</v>
      </c>
      <c r="C19" s="144"/>
      <c r="D19" s="138">
        <f t="shared" si="1"/>
        <v>241.9</v>
      </c>
      <c r="E19" s="138">
        <f t="shared" si="4"/>
        <v>711.6</v>
      </c>
      <c r="F19" s="139">
        <f t="shared" si="2"/>
        <v>953.5</v>
      </c>
      <c r="G19" s="138">
        <f t="shared" si="3"/>
        <v>23482.8</v>
      </c>
    </row>
    <row r="20" ht="14.25" customHeight="1">
      <c r="A20" s="136">
        <v>16.0</v>
      </c>
      <c r="B20" s="137">
        <v>45867.0</v>
      </c>
      <c r="C20" s="144"/>
      <c r="D20" s="138">
        <f t="shared" si="1"/>
        <v>234.8</v>
      </c>
      <c r="E20" s="138">
        <f t="shared" si="4"/>
        <v>711.6</v>
      </c>
      <c r="F20" s="139">
        <f t="shared" si="2"/>
        <v>946.4</v>
      </c>
      <c r="G20" s="138">
        <f t="shared" si="3"/>
        <v>22771.2</v>
      </c>
    </row>
    <row r="21" ht="14.25" customHeight="1">
      <c r="A21" s="136">
        <v>17.0</v>
      </c>
      <c r="B21" s="137">
        <v>45898.0</v>
      </c>
      <c r="C21" s="144"/>
      <c r="D21" s="138">
        <f t="shared" si="1"/>
        <v>227.7</v>
      </c>
      <c r="E21" s="138">
        <f t="shared" si="4"/>
        <v>711.6</v>
      </c>
      <c r="F21" s="139">
        <f t="shared" si="2"/>
        <v>939.3</v>
      </c>
      <c r="G21" s="138">
        <f t="shared" si="3"/>
        <v>22059.6</v>
      </c>
    </row>
    <row r="22" ht="14.25" customHeight="1">
      <c r="A22" s="136">
        <v>18.0</v>
      </c>
      <c r="B22" s="137">
        <v>45929.0</v>
      </c>
      <c r="C22" s="144"/>
      <c r="D22" s="138">
        <f t="shared" si="1"/>
        <v>220.6</v>
      </c>
      <c r="E22" s="138">
        <f t="shared" si="4"/>
        <v>711.6</v>
      </c>
      <c r="F22" s="139">
        <f t="shared" si="2"/>
        <v>932.2</v>
      </c>
      <c r="G22" s="138">
        <f t="shared" si="3"/>
        <v>21348</v>
      </c>
      <c r="I22" s="190" t="s">
        <v>328</v>
      </c>
      <c r="J22" s="153">
        <f>SUM(D5:D24)</f>
        <v>5479.4</v>
      </c>
    </row>
    <row r="23" ht="14.25" customHeight="1">
      <c r="A23" s="136">
        <v>19.0</v>
      </c>
      <c r="B23" s="137">
        <v>45959.0</v>
      </c>
      <c r="C23" s="145"/>
      <c r="D23" s="138">
        <f t="shared" si="1"/>
        <v>213.5</v>
      </c>
      <c r="E23" s="138">
        <f t="shared" si="4"/>
        <v>711.6</v>
      </c>
      <c r="F23" s="139">
        <f t="shared" si="2"/>
        <v>925.1</v>
      </c>
      <c r="G23" s="138">
        <f t="shared" si="3"/>
        <v>20636.4</v>
      </c>
      <c r="I23" s="190" t="s">
        <v>209</v>
      </c>
      <c r="J23" s="153">
        <f>G24</f>
        <v>19924.8</v>
      </c>
    </row>
    <row r="24" ht="14.25" customHeight="1">
      <c r="A24" s="154">
        <v>20.0</v>
      </c>
      <c r="B24" s="155">
        <v>45990.0</v>
      </c>
      <c r="C24" s="156"/>
      <c r="D24" s="157">
        <f t="shared" si="1"/>
        <v>206.4</v>
      </c>
      <c r="E24" s="157">
        <f t="shared" si="4"/>
        <v>711.6</v>
      </c>
      <c r="F24" s="157">
        <f t="shared" si="2"/>
        <v>918</v>
      </c>
      <c r="G24" s="157">
        <f t="shared" si="3"/>
        <v>19924.8</v>
      </c>
    </row>
    <row r="25" ht="14.25" hidden="1" customHeight="1">
      <c r="A25" s="131">
        <v>21.0</v>
      </c>
      <c r="B25" s="132">
        <v>46020.0</v>
      </c>
      <c r="C25" s="146"/>
      <c r="D25" s="135">
        <f t="shared" si="1"/>
        <v>199.2</v>
      </c>
      <c r="E25" s="135">
        <f t="shared" si="4"/>
        <v>711.6</v>
      </c>
      <c r="F25" s="133">
        <f t="shared" si="2"/>
        <v>910.8</v>
      </c>
      <c r="G25" s="135">
        <f t="shared" si="3"/>
        <v>19213.2</v>
      </c>
    </row>
    <row r="26" ht="14.25" hidden="1" customHeight="1">
      <c r="A26" s="131">
        <v>22.0</v>
      </c>
      <c r="B26" s="132">
        <v>46051.0</v>
      </c>
      <c r="C26" s="146"/>
      <c r="D26" s="135">
        <f t="shared" si="1"/>
        <v>192.1</v>
      </c>
      <c r="E26" s="135">
        <f t="shared" si="4"/>
        <v>711.6</v>
      </c>
      <c r="F26" s="133">
        <f t="shared" si="2"/>
        <v>903.7</v>
      </c>
      <c r="G26" s="135">
        <f t="shared" si="3"/>
        <v>18501.6</v>
      </c>
    </row>
    <row r="27" ht="14.25" hidden="1" customHeight="1">
      <c r="A27" s="131">
        <v>23.0</v>
      </c>
      <c r="B27" s="132">
        <v>46081.0</v>
      </c>
      <c r="C27" s="146"/>
      <c r="D27" s="135">
        <f t="shared" si="1"/>
        <v>185</v>
      </c>
      <c r="E27" s="135">
        <f t="shared" si="4"/>
        <v>711.6</v>
      </c>
      <c r="F27" s="133">
        <f t="shared" si="2"/>
        <v>896.6</v>
      </c>
      <c r="G27" s="135">
        <f t="shared" si="3"/>
        <v>17790</v>
      </c>
    </row>
    <row r="28" ht="14.25" hidden="1" customHeight="1">
      <c r="A28" s="131">
        <v>24.0</v>
      </c>
      <c r="B28" s="132">
        <v>46110.0</v>
      </c>
      <c r="C28" s="146"/>
      <c r="D28" s="135">
        <f t="shared" si="1"/>
        <v>177.9</v>
      </c>
      <c r="E28" s="135">
        <f t="shared" si="4"/>
        <v>711.6</v>
      </c>
      <c r="F28" s="133">
        <f t="shared" si="2"/>
        <v>889.5</v>
      </c>
      <c r="G28" s="135">
        <f t="shared" si="3"/>
        <v>17078.4</v>
      </c>
    </row>
    <row r="29" ht="14.25" hidden="1" customHeight="1">
      <c r="A29" s="131">
        <v>25.0</v>
      </c>
      <c r="B29" s="132">
        <v>46141.0</v>
      </c>
      <c r="C29" s="146"/>
      <c r="D29" s="135">
        <f t="shared" si="1"/>
        <v>170.8</v>
      </c>
      <c r="E29" s="135">
        <f t="shared" si="4"/>
        <v>711.6</v>
      </c>
      <c r="F29" s="133">
        <f t="shared" si="2"/>
        <v>882.4</v>
      </c>
      <c r="G29" s="135">
        <f t="shared" si="3"/>
        <v>16366.8</v>
      </c>
    </row>
    <row r="30" ht="14.25" hidden="1" customHeight="1">
      <c r="A30" s="131">
        <v>26.0</v>
      </c>
      <c r="B30" s="132">
        <v>46171.0</v>
      </c>
      <c r="C30" s="146"/>
      <c r="D30" s="135">
        <f t="shared" si="1"/>
        <v>163.7</v>
      </c>
      <c r="E30" s="135">
        <f t="shared" si="4"/>
        <v>711.6</v>
      </c>
      <c r="F30" s="133">
        <f t="shared" si="2"/>
        <v>875.3</v>
      </c>
      <c r="G30" s="135">
        <f t="shared" si="3"/>
        <v>15655.2</v>
      </c>
    </row>
    <row r="31" ht="14.25" hidden="1" customHeight="1">
      <c r="A31" s="131">
        <v>27.0</v>
      </c>
      <c r="B31" s="132">
        <v>46202.0</v>
      </c>
      <c r="C31" s="146"/>
      <c r="D31" s="135">
        <f t="shared" si="1"/>
        <v>156.6</v>
      </c>
      <c r="E31" s="135">
        <f t="shared" si="4"/>
        <v>711.6</v>
      </c>
      <c r="F31" s="133">
        <f t="shared" si="2"/>
        <v>868.2</v>
      </c>
      <c r="G31" s="135">
        <f t="shared" si="3"/>
        <v>14943.6</v>
      </c>
    </row>
    <row r="32" ht="14.25" hidden="1" customHeight="1">
      <c r="A32" s="131">
        <v>28.0</v>
      </c>
      <c r="B32" s="132">
        <v>46232.0</v>
      </c>
      <c r="C32" s="146"/>
      <c r="D32" s="135">
        <f t="shared" si="1"/>
        <v>149.4</v>
      </c>
      <c r="E32" s="135">
        <f t="shared" si="4"/>
        <v>711.6</v>
      </c>
      <c r="F32" s="133">
        <f t="shared" si="2"/>
        <v>861</v>
      </c>
      <c r="G32" s="135">
        <f t="shared" si="3"/>
        <v>14232</v>
      </c>
    </row>
    <row r="33" ht="14.25" hidden="1" customHeight="1">
      <c r="A33" s="131">
        <v>29.0</v>
      </c>
      <c r="B33" s="132">
        <v>46263.0</v>
      </c>
      <c r="C33" s="146"/>
      <c r="D33" s="135">
        <f t="shared" si="1"/>
        <v>142.3</v>
      </c>
      <c r="E33" s="135">
        <f t="shared" si="4"/>
        <v>711.6</v>
      </c>
      <c r="F33" s="133">
        <f t="shared" si="2"/>
        <v>853.9</v>
      </c>
      <c r="G33" s="135">
        <f t="shared" si="3"/>
        <v>13520.4</v>
      </c>
    </row>
    <row r="34" ht="14.25" hidden="1" customHeight="1">
      <c r="A34" s="131">
        <v>30.0</v>
      </c>
      <c r="B34" s="132">
        <v>46294.0</v>
      </c>
      <c r="C34" s="146"/>
      <c r="D34" s="135">
        <f t="shared" si="1"/>
        <v>135.2</v>
      </c>
      <c r="E34" s="135">
        <f t="shared" si="4"/>
        <v>711.6</v>
      </c>
      <c r="F34" s="133">
        <f t="shared" si="2"/>
        <v>846.8</v>
      </c>
      <c r="G34" s="135">
        <f t="shared" si="3"/>
        <v>12808.8</v>
      </c>
    </row>
    <row r="35" ht="14.25" hidden="1" customHeight="1">
      <c r="A35" s="131">
        <v>31.0</v>
      </c>
      <c r="B35" s="132">
        <v>46324.0</v>
      </c>
      <c r="C35" s="146"/>
      <c r="D35" s="135">
        <f t="shared" si="1"/>
        <v>128.1</v>
      </c>
      <c r="E35" s="135">
        <f t="shared" si="4"/>
        <v>711.6</v>
      </c>
      <c r="F35" s="133">
        <f t="shared" si="2"/>
        <v>839.7</v>
      </c>
      <c r="G35" s="135">
        <f t="shared" si="3"/>
        <v>12097.2</v>
      </c>
    </row>
    <row r="36" ht="14.25" hidden="1" customHeight="1">
      <c r="A36" s="131">
        <v>32.0</v>
      </c>
      <c r="B36" s="132">
        <v>46355.0</v>
      </c>
      <c r="C36" s="146"/>
      <c r="D36" s="135">
        <f t="shared" si="1"/>
        <v>121</v>
      </c>
      <c r="E36" s="135">
        <f t="shared" si="4"/>
        <v>711.6</v>
      </c>
      <c r="F36" s="133">
        <f t="shared" si="2"/>
        <v>832.6</v>
      </c>
      <c r="G36" s="135">
        <f t="shared" si="3"/>
        <v>11385.6</v>
      </c>
    </row>
    <row r="37" ht="14.25" hidden="1" customHeight="1">
      <c r="A37" s="131">
        <v>33.0</v>
      </c>
      <c r="B37" s="132">
        <v>46385.0</v>
      </c>
      <c r="C37" s="146"/>
      <c r="D37" s="135">
        <f t="shared" si="1"/>
        <v>113.9</v>
      </c>
      <c r="E37" s="135">
        <f t="shared" si="4"/>
        <v>711.6</v>
      </c>
      <c r="F37" s="133">
        <f t="shared" si="2"/>
        <v>825.5</v>
      </c>
      <c r="G37" s="135">
        <f t="shared" si="3"/>
        <v>10674</v>
      </c>
    </row>
    <row r="38" ht="14.25" hidden="1" customHeight="1">
      <c r="A38" s="131">
        <v>34.0</v>
      </c>
      <c r="B38" s="132">
        <v>46416.0</v>
      </c>
      <c r="C38" s="146"/>
      <c r="D38" s="135">
        <f t="shared" si="1"/>
        <v>106.7</v>
      </c>
      <c r="E38" s="135">
        <f t="shared" si="4"/>
        <v>711.6</v>
      </c>
      <c r="F38" s="133">
        <f t="shared" si="2"/>
        <v>818.3</v>
      </c>
      <c r="G38" s="135">
        <f t="shared" si="3"/>
        <v>9962.4</v>
      </c>
    </row>
    <row r="39" ht="14.25" hidden="1" customHeight="1">
      <c r="A39" s="131">
        <v>35.0</v>
      </c>
      <c r="B39" s="132">
        <v>46446.0</v>
      </c>
      <c r="C39" s="146"/>
      <c r="D39" s="135">
        <f t="shared" si="1"/>
        <v>99.6</v>
      </c>
      <c r="E39" s="135">
        <f t="shared" si="4"/>
        <v>711.6</v>
      </c>
      <c r="F39" s="133">
        <f t="shared" si="2"/>
        <v>811.2</v>
      </c>
      <c r="G39" s="135">
        <f t="shared" si="3"/>
        <v>9250.8</v>
      </c>
    </row>
    <row r="40" ht="14.25" hidden="1" customHeight="1">
      <c r="A40" s="131">
        <v>36.0</v>
      </c>
      <c r="B40" s="132">
        <v>46475.0</v>
      </c>
      <c r="C40" s="146"/>
      <c r="D40" s="135">
        <f t="shared" si="1"/>
        <v>92.5</v>
      </c>
      <c r="E40" s="135">
        <f t="shared" si="4"/>
        <v>711.6</v>
      </c>
      <c r="F40" s="133">
        <f t="shared" si="2"/>
        <v>804.1</v>
      </c>
      <c r="G40" s="135">
        <f t="shared" si="3"/>
        <v>8539.2</v>
      </c>
    </row>
    <row r="41" ht="14.25" hidden="1" customHeight="1">
      <c r="A41" s="131">
        <v>37.0</v>
      </c>
      <c r="B41" s="132">
        <v>46506.0</v>
      </c>
      <c r="C41" s="146"/>
      <c r="D41" s="135">
        <f t="shared" si="1"/>
        <v>85.4</v>
      </c>
      <c r="E41" s="135">
        <f t="shared" si="4"/>
        <v>711.6</v>
      </c>
      <c r="F41" s="133">
        <f t="shared" si="2"/>
        <v>797</v>
      </c>
      <c r="G41" s="135">
        <f t="shared" si="3"/>
        <v>7827.6</v>
      </c>
    </row>
    <row r="42" ht="14.25" hidden="1" customHeight="1">
      <c r="A42" s="131">
        <v>38.0</v>
      </c>
      <c r="B42" s="132">
        <v>46536.0</v>
      </c>
      <c r="C42" s="146"/>
      <c r="D42" s="135">
        <f t="shared" si="1"/>
        <v>78.3</v>
      </c>
      <c r="E42" s="135">
        <f t="shared" si="4"/>
        <v>711.6</v>
      </c>
      <c r="F42" s="133">
        <f t="shared" si="2"/>
        <v>789.9</v>
      </c>
      <c r="G42" s="135">
        <f t="shared" si="3"/>
        <v>7116</v>
      </c>
    </row>
    <row r="43" ht="14.25" hidden="1" customHeight="1">
      <c r="A43" s="131">
        <v>39.0</v>
      </c>
      <c r="B43" s="132">
        <v>46567.0</v>
      </c>
      <c r="C43" s="146"/>
      <c r="D43" s="135">
        <f t="shared" si="1"/>
        <v>71.2</v>
      </c>
      <c r="E43" s="135">
        <f t="shared" si="4"/>
        <v>711.6</v>
      </c>
      <c r="F43" s="133">
        <f t="shared" si="2"/>
        <v>782.8</v>
      </c>
      <c r="G43" s="135">
        <f t="shared" si="3"/>
        <v>6404.4</v>
      </c>
    </row>
    <row r="44" ht="14.25" hidden="1" customHeight="1">
      <c r="A44" s="131">
        <v>40.0</v>
      </c>
      <c r="B44" s="132">
        <v>46597.0</v>
      </c>
      <c r="C44" s="146"/>
      <c r="D44" s="135">
        <f t="shared" si="1"/>
        <v>64</v>
      </c>
      <c r="E44" s="135">
        <f t="shared" si="4"/>
        <v>711.6</v>
      </c>
      <c r="F44" s="133">
        <f t="shared" si="2"/>
        <v>775.6</v>
      </c>
      <c r="G44" s="135">
        <f t="shared" si="3"/>
        <v>5692.8</v>
      </c>
    </row>
    <row r="45" ht="14.25" hidden="1" customHeight="1">
      <c r="A45" s="131">
        <v>41.0</v>
      </c>
      <c r="B45" s="132">
        <v>46628.0</v>
      </c>
      <c r="C45" s="146"/>
      <c r="D45" s="135">
        <f t="shared" si="1"/>
        <v>56.9</v>
      </c>
      <c r="E45" s="135">
        <f t="shared" si="4"/>
        <v>711.6</v>
      </c>
      <c r="F45" s="133">
        <f t="shared" si="2"/>
        <v>768.5</v>
      </c>
      <c r="G45" s="135">
        <f t="shared" si="3"/>
        <v>4981.2</v>
      </c>
    </row>
    <row r="46" ht="14.25" hidden="1" customHeight="1">
      <c r="A46" s="131">
        <v>42.0</v>
      </c>
      <c r="B46" s="132">
        <v>46659.0</v>
      </c>
      <c r="C46" s="146"/>
      <c r="D46" s="135">
        <f t="shared" si="1"/>
        <v>49.8</v>
      </c>
      <c r="E46" s="135">
        <f t="shared" si="4"/>
        <v>711.6</v>
      </c>
      <c r="F46" s="133">
        <f t="shared" si="2"/>
        <v>761.4</v>
      </c>
      <c r="G46" s="135">
        <f t="shared" si="3"/>
        <v>4269.6</v>
      </c>
    </row>
    <row r="47" ht="14.25" hidden="1" customHeight="1">
      <c r="A47" s="131">
        <v>43.0</v>
      </c>
      <c r="B47" s="132">
        <v>46689.0</v>
      </c>
      <c r="C47" s="146"/>
      <c r="D47" s="135">
        <f t="shared" si="1"/>
        <v>42.7</v>
      </c>
      <c r="E47" s="135">
        <f t="shared" si="4"/>
        <v>711.6</v>
      </c>
      <c r="F47" s="133">
        <f t="shared" si="2"/>
        <v>754.3</v>
      </c>
      <c r="G47" s="135">
        <f t="shared" si="3"/>
        <v>3558</v>
      </c>
    </row>
    <row r="48" ht="14.25" hidden="1" customHeight="1">
      <c r="A48" s="131">
        <v>44.0</v>
      </c>
      <c r="B48" s="132">
        <v>46720.0</v>
      </c>
      <c r="C48" s="146"/>
      <c r="D48" s="135">
        <f t="shared" si="1"/>
        <v>35.6</v>
      </c>
      <c r="E48" s="135">
        <f t="shared" si="4"/>
        <v>711.6</v>
      </c>
      <c r="F48" s="133">
        <f t="shared" si="2"/>
        <v>747.2</v>
      </c>
      <c r="G48" s="135">
        <f t="shared" si="3"/>
        <v>2846.4</v>
      </c>
    </row>
    <row r="49" ht="14.25" hidden="1" customHeight="1">
      <c r="A49" s="131">
        <v>45.0</v>
      </c>
      <c r="B49" s="132">
        <v>46750.0</v>
      </c>
      <c r="C49" s="146"/>
      <c r="D49" s="135">
        <f t="shared" si="1"/>
        <v>28.5</v>
      </c>
      <c r="E49" s="135">
        <f t="shared" si="4"/>
        <v>711.6</v>
      </c>
      <c r="F49" s="133">
        <f t="shared" si="2"/>
        <v>740.1</v>
      </c>
      <c r="G49" s="135">
        <f t="shared" si="3"/>
        <v>2134.8</v>
      </c>
    </row>
    <row r="50" ht="14.25" hidden="1" customHeight="1">
      <c r="A50" s="131">
        <v>46.0</v>
      </c>
      <c r="B50" s="132">
        <v>46781.0</v>
      </c>
      <c r="C50" s="146"/>
      <c r="D50" s="135">
        <f t="shared" si="1"/>
        <v>21.3</v>
      </c>
      <c r="E50" s="135">
        <f t="shared" si="4"/>
        <v>711.6</v>
      </c>
      <c r="F50" s="133">
        <f t="shared" si="2"/>
        <v>732.9</v>
      </c>
      <c r="G50" s="135">
        <f t="shared" si="3"/>
        <v>1423.2</v>
      </c>
    </row>
    <row r="51" ht="14.25" hidden="1" customHeight="1">
      <c r="A51" s="131">
        <v>47.0</v>
      </c>
      <c r="B51" s="132">
        <v>46812.0</v>
      </c>
      <c r="C51" s="146"/>
      <c r="D51" s="135">
        <f t="shared" si="1"/>
        <v>14.2</v>
      </c>
      <c r="E51" s="135">
        <f t="shared" si="4"/>
        <v>711.6</v>
      </c>
      <c r="F51" s="133">
        <f t="shared" si="2"/>
        <v>725.8</v>
      </c>
      <c r="G51" s="135">
        <f t="shared" si="3"/>
        <v>711.6</v>
      </c>
    </row>
    <row r="52" ht="14.25" hidden="1" customHeight="1">
      <c r="A52" s="131">
        <v>48.0</v>
      </c>
      <c r="B52" s="132">
        <v>46841.0</v>
      </c>
      <c r="C52" s="146"/>
      <c r="D52" s="135">
        <f t="shared" si="1"/>
        <v>7.1</v>
      </c>
      <c r="E52" s="135">
        <f t="shared" si="4"/>
        <v>711.6</v>
      </c>
      <c r="F52" s="133">
        <f t="shared" si="2"/>
        <v>718.7</v>
      </c>
      <c r="G52" s="135">
        <f t="shared" si="3"/>
        <v>0</v>
      </c>
    </row>
    <row r="53" ht="14.25" customHeight="1">
      <c r="A53" s="129" t="s">
        <v>252</v>
      </c>
      <c r="B53" s="2"/>
      <c r="C53" s="3"/>
      <c r="D53" s="147">
        <f t="shared" ref="D53:F53" si="5">+SUM(D5:D52)</f>
        <v>8368.4</v>
      </c>
      <c r="E53" s="147">
        <f t="shared" si="5"/>
        <v>34156.9</v>
      </c>
      <c r="F53" s="147">
        <f t="shared" si="5"/>
        <v>42525.3</v>
      </c>
      <c r="G53" s="148"/>
    </row>
    <row r="54" ht="14.25" customHeight="1"/>
    <row r="55" ht="14.25" customHeight="1">
      <c r="A55" s="169" t="s">
        <v>376</v>
      </c>
      <c r="B55" s="2"/>
      <c r="C55" s="2"/>
      <c r="D55" s="2"/>
      <c r="E55" s="2"/>
      <c r="F55" s="2"/>
      <c r="G55" s="3"/>
      <c r="H55" s="170"/>
      <c r="I55" s="170"/>
      <c r="J55" s="170"/>
    </row>
    <row r="56" ht="14.25" customHeight="1">
      <c r="A56" s="171" t="s">
        <v>377</v>
      </c>
      <c r="B56" s="2"/>
      <c r="C56" s="2"/>
      <c r="D56" s="2"/>
      <c r="E56" s="2"/>
      <c r="F56" s="2"/>
      <c r="G56" s="3"/>
      <c r="H56" s="170"/>
      <c r="I56" s="170"/>
      <c r="J56" s="170"/>
    </row>
    <row r="57" ht="14.25" customHeight="1">
      <c r="A57" s="172" t="s">
        <v>326</v>
      </c>
      <c r="B57" s="172" t="s">
        <v>256</v>
      </c>
      <c r="C57" s="172" t="s">
        <v>327</v>
      </c>
      <c r="D57" s="172" t="s">
        <v>328</v>
      </c>
      <c r="E57" s="172" t="s">
        <v>329</v>
      </c>
      <c r="F57" s="172" t="s">
        <v>330</v>
      </c>
      <c r="G57" s="172" t="s">
        <v>209</v>
      </c>
      <c r="H57" s="170"/>
      <c r="I57" s="170"/>
      <c r="J57" s="170"/>
    </row>
    <row r="58" ht="14.25" customHeight="1">
      <c r="A58" s="131">
        <v>0.0</v>
      </c>
      <c r="B58" s="164">
        <v>45990.0</v>
      </c>
      <c r="C58" s="133">
        <f>+J61</f>
        <v>46479.2</v>
      </c>
      <c r="D58" s="134">
        <v>0.01</v>
      </c>
      <c r="E58" s="135"/>
      <c r="F58" s="135"/>
      <c r="G58" s="135">
        <f>+C58</f>
        <v>46479.2</v>
      </c>
      <c r="H58" s="170"/>
      <c r="I58" s="170"/>
      <c r="J58" s="170"/>
    </row>
    <row r="59" ht="14.25" customHeight="1">
      <c r="A59" s="136">
        <v>1.0</v>
      </c>
      <c r="B59" s="199">
        <v>46020.0</v>
      </c>
      <c r="C59" s="145"/>
      <c r="D59" s="138">
        <f t="shared" ref="D59:D94" si="6">+ROUND(G58*0.01,1)</f>
        <v>464.8</v>
      </c>
      <c r="E59" s="138">
        <f t="shared" ref="E59:E93" si="7">ROUNDUP($C$58/36,1)</f>
        <v>1291.1</v>
      </c>
      <c r="F59" s="139">
        <f t="shared" ref="F59:F94" si="8">+ROUND(D59+E59,1)</f>
        <v>1755.9</v>
      </c>
      <c r="G59" s="138">
        <f t="shared" ref="G59:G94" si="9">+ROUND(G58-E59,1)</f>
        <v>45188.1</v>
      </c>
      <c r="H59" s="170"/>
      <c r="I59" s="182" t="s">
        <v>209</v>
      </c>
      <c r="J59" s="196">
        <f>J23</f>
        <v>19924.8</v>
      </c>
    </row>
    <row r="60" ht="14.25" customHeight="1">
      <c r="A60" s="131">
        <v>2.0</v>
      </c>
      <c r="B60" s="164">
        <v>46051.0</v>
      </c>
      <c r="C60" s="146"/>
      <c r="D60" s="135">
        <f t="shared" si="6"/>
        <v>451.9</v>
      </c>
      <c r="E60" s="135">
        <f t="shared" si="7"/>
        <v>1291.1</v>
      </c>
      <c r="F60" s="133">
        <f t="shared" si="8"/>
        <v>1743</v>
      </c>
      <c r="G60" s="135">
        <f t="shared" si="9"/>
        <v>43897</v>
      </c>
      <c r="H60" s="170"/>
      <c r="I60" s="182" t="s">
        <v>331</v>
      </c>
      <c r="J60" s="196">
        <v>26554.4</v>
      </c>
    </row>
    <row r="61" ht="14.25" customHeight="1">
      <c r="A61" s="131">
        <v>3.0</v>
      </c>
      <c r="B61" s="164">
        <v>46081.0</v>
      </c>
      <c r="C61" s="146"/>
      <c r="D61" s="135">
        <f t="shared" si="6"/>
        <v>439</v>
      </c>
      <c r="E61" s="135">
        <f t="shared" si="7"/>
        <v>1291.1</v>
      </c>
      <c r="F61" s="133">
        <f t="shared" si="8"/>
        <v>1730.1</v>
      </c>
      <c r="G61" s="135">
        <f t="shared" si="9"/>
        <v>42605.9</v>
      </c>
      <c r="H61" s="170"/>
      <c r="I61" s="197" t="s">
        <v>252</v>
      </c>
      <c r="J61" s="198">
        <f>J60+J59</f>
        <v>46479.2</v>
      </c>
    </row>
    <row r="62" ht="14.25" customHeight="1">
      <c r="A62" s="131">
        <v>4.0</v>
      </c>
      <c r="B62" s="164">
        <v>46110.0</v>
      </c>
      <c r="C62" s="146"/>
      <c r="D62" s="135">
        <f t="shared" si="6"/>
        <v>426.1</v>
      </c>
      <c r="E62" s="135">
        <f t="shared" si="7"/>
        <v>1291.1</v>
      </c>
      <c r="F62" s="133">
        <f t="shared" si="8"/>
        <v>1717.2</v>
      </c>
      <c r="G62" s="135">
        <f t="shared" si="9"/>
        <v>41314.8</v>
      </c>
      <c r="H62" s="170"/>
      <c r="I62" s="170"/>
      <c r="J62" s="170"/>
    </row>
    <row r="63" ht="14.25" customHeight="1">
      <c r="A63" s="131">
        <v>5.0</v>
      </c>
      <c r="B63" s="164">
        <v>46141.0</v>
      </c>
      <c r="C63" s="146"/>
      <c r="D63" s="135">
        <f t="shared" si="6"/>
        <v>413.1</v>
      </c>
      <c r="E63" s="135">
        <f t="shared" si="7"/>
        <v>1291.1</v>
      </c>
      <c r="F63" s="133">
        <f t="shared" si="8"/>
        <v>1704.2</v>
      </c>
      <c r="G63" s="135">
        <f t="shared" si="9"/>
        <v>40023.7</v>
      </c>
      <c r="H63" s="170"/>
      <c r="I63" s="170"/>
      <c r="J63" s="170"/>
    </row>
    <row r="64" ht="14.25" customHeight="1">
      <c r="A64" s="131">
        <v>6.0</v>
      </c>
      <c r="B64" s="164">
        <v>46171.0</v>
      </c>
      <c r="C64" s="146"/>
      <c r="D64" s="135">
        <f t="shared" si="6"/>
        <v>400.2</v>
      </c>
      <c r="E64" s="135">
        <f t="shared" si="7"/>
        <v>1291.1</v>
      </c>
      <c r="F64" s="133">
        <f t="shared" si="8"/>
        <v>1691.3</v>
      </c>
      <c r="G64" s="135">
        <f t="shared" si="9"/>
        <v>38732.6</v>
      </c>
      <c r="H64" s="170"/>
      <c r="I64" s="170"/>
      <c r="J64" s="170"/>
    </row>
    <row r="65" ht="14.25" customHeight="1">
      <c r="A65" s="131">
        <v>7.0</v>
      </c>
      <c r="B65" s="164">
        <v>46202.0</v>
      </c>
      <c r="C65" s="146"/>
      <c r="D65" s="135">
        <f t="shared" si="6"/>
        <v>387.3</v>
      </c>
      <c r="E65" s="135">
        <f t="shared" si="7"/>
        <v>1291.1</v>
      </c>
      <c r="F65" s="133">
        <f t="shared" si="8"/>
        <v>1678.4</v>
      </c>
      <c r="G65" s="135">
        <f t="shared" si="9"/>
        <v>37441.5</v>
      </c>
      <c r="H65" s="170"/>
      <c r="I65" s="170"/>
      <c r="J65" s="170"/>
    </row>
    <row r="66" ht="14.25" customHeight="1">
      <c r="A66" s="131">
        <v>8.0</v>
      </c>
      <c r="B66" s="164">
        <v>46232.0</v>
      </c>
      <c r="C66" s="146"/>
      <c r="D66" s="135">
        <f t="shared" si="6"/>
        <v>374.4</v>
      </c>
      <c r="E66" s="135">
        <f t="shared" si="7"/>
        <v>1291.1</v>
      </c>
      <c r="F66" s="133">
        <f t="shared" si="8"/>
        <v>1665.5</v>
      </c>
      <c r="G66" s="135">
        <f t="shared" si="9"/>
        <v>36150.4</v>
      </c>
      <c r="H66" s="170"/>
      <c r="I66" s="170"/>
      <c r="J66" s="170"/>
    </row>
    <row r="67" ht="14.25" customHeight="1">
      <c r="A67" s="131">
        <v>9.0</v>
      </c>
      <c r="B67" s="164">
        <v>46263.0</v>
      </c>
      <c r="C67" s="146"/>
      <c r="D67" s="135">
        <f t="shared" si="6"/>
        <v>361.5</v>
      </c>
      <c r="E67" s="135">
        <f t="shared" si="7"/>
        <v>1291.1</v>
      </c>
      <c r="F67" s="133">
        <f t="shared" si="8"/>
        <v>1652.6</v>
      </c>
      <c r="G67" s="135">
        <f t="shared" si="9"/>
        <v>34859.3</v>
      </c>
      <c r="H67" s="170"/>
      <c r="I67" s="170"/>
      <c r="J67" s="170"/>
    </row>
    <row r="68" ht="14.25" customHeight="1">
      <c r="A68" s="131">
        <v>10.0</v>
      </c>
      <c r="B68" s="164">
        <v>46294.0</v>
      </c>
      <c r="C68" s="146"/>
      <c r="D68" s="135">
        <f t="shared" si="6"/>
        <v>348.6</v>
      </c>
      <c r="E68" s="135">
        <f t="shared" si="7"/>
        <v>1291.1</v>
      </c>
      <c r="F68" s="133">
        <f t="shared" si="8"/>
        <v>1639.7</v>
      </c>
      <c r="G68" s="135">
        <f t="shared" si="9"/>
        <v>33568.2</v>
      </c>
      <c r="H68" s="170"/>
      <c r="I68" s="170"/>
      <c r="J68" s="170"/>
    </row>
    <row r="69" ht="14.25" customHeight="1">
      <c r="A69" s="131">
        <v>11.0</v>
      </c>
      <c r="B69" s="164">
        <v>46324.0</v>
      </c>
      <c r="C69" s="146"/>
      <c r="D69" s="135">
        <f t="shared" si="6"/>
        <v>335.7</v>
      </c>
      <c r="E69" s="135">
        <f t="shared" si="7"/>
        <v>1291.1</v>
      </c>
      <c r="F69" s="133">
        <f t="shared" si="8"/>
        <v>1626.8</v>
      </c>
      <c r="G69" s="135">
        <f t="shared" si="9"/>
        <v>32277.1</v>
      </c>
      <c r="H69" s="170"/>
      <c r="I69" s="170"/>
      <c r="J69" s="170"/>
    </row>
    <row r="70" ht="14.25" customHeight="1">
      <c r="A70" s="131">
        <v>12.0</v>
      </c>
      <c r="B70" s="164">
        <v>46355.0</v>
      </c>
      <c r="C70" s="146"/>
      <c r="D70" s="135">
        <f t="shared" si="6"/>
        <v>322.8</v>
      </c>
      <c r="E70" s="135">
        <f t="shared" si="7"/>
        <v>1291.1</v>
      </c>
      <c r="F70" s="133">
        <f t="shared" si="8"/>
        <v>1613.9</v>
      </c>
      <c r="G70" s="135">
        <f t="shared" si="9"/>
        <v>30986</v>
      </c>
      <c r="H70" s="170"/>
      <c r="I70" s="170"/>
      <c r="J70" s="170"/>
    </row>
    <row r="71" ht="14.25" customHeight="1">
      <c r="A71" s="131">
        <v>13.0</v>
      </c>
      <c r="B71" s="164">
        <v>46385.0</v>
      </c>
      <c r="C71" s="146"/>
      <c r="D71" s="135">
        <f t="shared" si="6"/>
        <v>309.9</v>
      </c>
      <c r="E71" s="135">
        <f t="shared" si="7"/>
        <v>1291.1</v>
      </c>
      <c r="F71" s="133">
        <f t="shared" si="8"/>
        <v>1601</v>
      </c>
      <c r="G71" s="135">
        <f t="shared" si="9"/>
        <v>29694.9</v>
      </c>
      <c r="H71" s="170"/>
      <c r="I71" s="170"/>
      <c r="J71" s="170"/>
    </row>
    <row r="72" ht="14.25" customHeight="1">
      <c r="A72" s="131">
        <v>14.0</v>
      </c>
      <c r="B72" s="164">
        <v>46416.0</v>
      </c>
      <c r="C72" s="146"/>
      <c r="D72" s="135">
        <f t="shared" si="6"/>
        <v>296.9</v>
      </c>
      <c r="E72" s="135">
        <f t="shared" si="7"/>
        <v>1291.1</v>
      </c>
      <c r="F72" s="133">
        <f t="shared" si="8"/>
        <v>1588</v>
      </c>
      <c r="G72" s="135">
        <f t="shared" si="9"/>
        <v>28403.8</v>
      </c>
      <c r="H72" s="170"/>
      <c r="I72" s="170"/>
      <c r="J72" s="170"/>
    </row>
    <row r="73" ht="14.25" customHeight="1">
      <c r="A73" s="131">
        <v>15.0</v>
      </c>
      <c r="B73" s="164">
        <v>46446.0</v>
      </c>
      <c r="C73" s="146"/>
      <c r="D73" s="135">
        <f t="shared" si="6"/>
        <v>284</v>
      </c>
      <c r="E73" s="135">
        <f t="shared" si="7"/>
        <v>1291.1</v>
      </c>
      <c r="F73" s="133">
        <f t="shared" si="8"/>
        <v>1575.1</v>
      </c>
      <c r="G73" s="135">
        <f t="shared" si="9"/>
        <v>27112.7</v>
      </c>
      <c r="H73" s="170"/>
      <c r="I73" s="170"/>
      <c r="J73" s="170"/>
    </row>
    <row r="74" ht="14.25" customHeight="1">
      <c r="A74" s="131">
        <v>16.0</v>
      </c>
      <c r="B74" s="164">
        <v>46475.0</v>
      </c>
      <c r="C74" s="146"/>
      <c r="D74" s="135">
        <f t="shared" si="6"/>
        <v>271.1</v>
      </c>
      <c r="E74" s="135">
        <f t="shared" si="7"/>
        <v>1291.1</v>
      </c>
      <c r="F74" s="133">
        <f t="shared" si="8"/>
        <v>1562.2</v>
      </c>
      <c r="G74" s="135">
        <f t="shared" si="9"/>
        <v>25821.6</v>
      </c>
      <c r="H74" s="170"/>
      <c r="I74" s="170"/>
      <c r="J74" s="170"/>
    </row>
    <row r="75" ht="14.25" customHeight="1">
      <c r="A75" s="131">
        <v>17.0</v>
      </c>
      <c r="B75" s="164">
        <v>46506.0</v>
      </c>
      <c r="C75" s="146"/>
      <c r="D75" s="135">
        <f t="shared" si="6"/>
        <v>258.2</v>
      </c>
      <c r="E75" s="135">
        <f t="shared" si="7"/>
        <v>1291.1</v>
      </c>
      <c r="F75" s="133">
        <f t="shared" si="8"/>
        <v>1549.3</v>
      </c>
      <c r="G75" s="135">
        <f t="shared" si="9"/>
        <v>24530.5</v>
      </c>
      <c r="H75" s="170"/>
      <c r="I75" s="170"/>
      <c r="J75" s="170"/>
    </row>
    <row r="76" ht="14.25" customHeight="1">
      <c r="A76" s="131">
        <v>18.0</v>
      </c>
      <c r="B76" s="164">
        <v>46536.0</v>
      </c>
      <c r="C76" s="146"/>
      <c r="D76" s="135">
        <f t="shared" si="6"/>
        <v>245.3</v>
      </c>
      <c r="E76" s="135">
        <f t="shared" si="7"/>
        <v>1291.1</v>
      </c>
      <c r="F76" s="133">
        <f t="shared" si="8"/>
        <v>1536.4</v>
      </c>
      <c r="G76" s="135">
        <f t="shared" si="9"/>
        <v>23239.4</v>
      </c>
      <c r="H76" s="170"/>
      <c r="I76" s="170"/>
      <c r="J76" s="170"/>
    </row>
    <row r="77" ht="14.25" customHeight="1">
      <c r="A77" s="131">
        <v>19.0</v>
      </c>
      <c r="B77" s="164">
        <v>46567.0</v>
      </c>
      <c r="C77" s="146"/>
      <c r="D77" s="135">
        <f t="shared" si="6"/>
        <v>232.4</v>
      </c>
      <c r="E77" s="135">
        <f t="shared" si="7"/>
        <v>1291.1</v>
      </c>
      <c r="F77" s="133">
        <f t="shared" si="8"/>
        <v>1523.5</v>
      </c>
      <c r="G77" s="135">
        <f t="shared" si="9"/>
        <v>21948.3</v>
      </c>
      <c r="H77" s="170"/>
      <c r="I77" s="170"/>
      <c r="J77" s="170"/>
    </row>
    <row r="78" ht="14.25" customHeight="1">
      <c r="A78" s="131">
        <v>20.0</v>
      </c>
      <c r="B78" s="164">
        <v>46597.0</v>
      </c>
      <c r="C78" s="146"/>
      <c r="D78" s="135">
        <f t="shared" si="6"/>
        <v>219.5</v>
      </c>
      <c r="E78" s="135">
        <f t="shared" si="7"/>
        <v>1291.1</v>
      </c>
      <c r="F78" s="133">
        <f t="shared" si="8"/>
        <v>1510.6</v>
      </c>
      <c r="G78" s="135">
        <f t="shared" si="9"/>
        <v>20657.2</v>
      </c>
      <c r="H78" s="170"/>
      <c r="I78" s="170"/>
      <c r="J78" s="170"/>
    </row>
    <row r="79" ht="14.25" customHeight="1">
      <c r="A79" s="131">
        <v>21.0</v>
      </c>
      <c r="B79" s="164">
        <v>46628.0</v>
      </c>
      <c r="C79" s="146"/>
      <c r="D79" s="135">
        <f t="shared" si="6"/>
        <v>206.6</v>
      </c>
      <c r="E79" s="135">
        <f t="shared" si="7"/>
        <v>1291.1</v>
      </c>
      <c r="F79" s="133">
        <f t="shared" si="8"/>
        <v>1497.7</v>
      </c>
      <c r="G79" s="135">
        <f t="shared" si="9"/>
        <v>19366.1</v>
      </c>
      <c r="H79" s="170"/>
      <c r="I79" s="170"/>
      <c r="J79" s="170"/>
    </row>
    <row r="80" ht="14.25" customHeight="1">
      <c r="A80" s="131">
        <v>22.0</v>
      </c>
      <c r="B80" s="164">
        <v>46659.0</v>
      </c>
      <c r="C80" s="146"/>
      <c r="D80" s="135">
        <f t="shared" si="6"/>
        <v>193.7</v>
      </c>
      <c r="E80" s="135">
        <f t="shared" si="7"/>
        <v>1291.1</v>
      </c>
      <c r="F80" s="133">
        <f t="shared" si="8"/>
        <v>1484.8</v>
      </c>
      <c r="G80" s="135">
        <f t="shared" si="9"/>
        <v>18075</v>
      </c>
      <c r="H80" s="170"/>
      <c r="I80" s="170"/>
      <c r="J80" s="170"/>
    </row>
    <row r="81" ht="14.25" customHeight="1">
      <c r="A81" s="131">
        <v>23.0</v>
      </c>
      <c r="B81" s="164">
        <v>46689.0</v>
      </c>
      <c r="C81" s="146"/>
      <c r="D81" s="135">
        <f t="shared" si="6"/>
        <v>180.8</v>
      </c>
      <c r="E81" s="135">
        <f t="shared" si="7"/>
        <v>1291.1</v>
      </c>
      <c r="F81" s="133">
        <f t="shared" si="8"/>
        <v>1471.9</v>
      </c>
      <c r="G81" s="135">
        <f t="shared" si="9"/>
        <v>16783.9</v>
      </c>
      <c r="H81" s="170"/>
      <c r="I81" s="170"/>
      <c r="J81" s="170"/>
    </row>
    <row r="82" ht="14.25" customHeight="1">
      <c r="A82" s="131">
        <v>24.0</v>
      </c>
      <c r="B82" s="164">
        <v>46720.0</v>
      </c>
      <c r="C82" s="146"/>
      <c r="D82" s="135">
        <f t="shared" si="6"/>
        <v>167.8</v>
      </c>
      <c r="E82" s="135">
        <f t="shared" si="7"/>
        <v>1291.1</v>
      </c>
      <c r="F82" s="133">
        <f t="shared" si="8"/>
        <v>1458.9</v>
      </c>
      <c r="G82" s="135">
        <f t="shared" si="9"/>
        <v>15492.8</v>
      </c>
      <c r="H82" s="170"/>
      <c r="I82" s="170"/>
      <c r="J82" s="170"/>
    </row>
    <row r="83" ht="14.25" customHeight="1">
      <c r="A83" s="131">
        <v>25.0</v>
      </c>
      <c r="B83" s="164">
        <v>46750.0</v>
      </c>
      <c r="C83" s="146"/>
      <c r="D83" s="135">
        <f t="shared" si="6"/>
        <v>154.9</v>
      </c>
      <c r="E83" s="135">
        <f t="shared" si="7"/>
        <v>1291.1</v>
      </c>
      <c r="F83" s="133">
        <f t="shared" si="8"/>
        <v>1446</v>
      </c>
      <c r="G83" s="135">
        <f t="shared" si="9"/>
        <v>14201.7</v>
      </c>
      <c r="H83" s="170"/>
      <c r="I83" s="170"/>
      <c r="J83" s="170"/>
    </row>
    <row r="84" ht="14.25" customHeight="1">
      <c r="A84" s="131">
        <v>26.0</v>
      </c>
      <c r="B84" s="164">
        <v>46781.0</v>
      </c>
      <c r="C84" s="146"/>
      <c r="D84" s="135">
        <f t="shared" si="6"/>
        <v>142</v>
      </c>
      <c r="E84" s="135">
        <f t="shared" si="7"/>
        <v>1291.1</v>
      </c>
      <c r="F84" s="133">
        <f t="shared" si="8"/>
        <v>1433.1</v>
      </c>
      <c r="G84" s="135">
        <f t="shared" si="9"/>
        <v>12910.6</v>
      </c>
      <c r="H84" s="170"/>
      <c r="I84" s="170"/>
      <c r="J84" s="170"/>
    </row>
    <row r="85" ht="14.25" customHeight="1">
      <c r="A85" s="131">
        <v>27.0</v>
      </c>
      <c r="B85" s="164">
        <v>46812.0</v>
      </c>
      <c r="C85" s="146"/>
      <c r="D85" s="135">
        <f t="shared" si="6"/>
        <v>129.1</v>
      </c>
      <c r="E85" s="135">
        <f t="shared" si="7"/>
        <v>1291.1</v>
      </c>
      <c r="F85" s="133">
        <f t="shared" si="8"/>
        <v>1420.2</v>
      </c>
      <c r="G85" s="135">
        <f t="shared" si="9"/>
        <v>11619.5</v>
      </c>
      <c r="H85" s="170"/>
      <c r="I85" s="170"/>
      <c r="J85" s="170"/>
    </row>
    <row r="86" ht="14.25" customHeight="1">
      <c r="A86" s="131">
        <v>28.0</v>
      </c>
      <c r="B86" s="164">
        <v>46841.0</v>
      </c>
      <c r="C86" s="146"/>
      <c r="D86" s="135">
        <f t="shared" si="6"/>
        <v>116.2</v>
      </c>
      <c r="E86" s="135">
        <f t="shared" si="7"/>
        <v>1291.1</v>
      </c>
      <c r="F86" s="133">
        <f t="shared" si="8"/>
        <v>1407.3</v>
      </c>
      <c r="G86" s="135">
        <f t="shared" si="9"/>
        <v>10328.4</v>
      </c>
      <c r="H86" s="170"/>
      <c r="I86" s="170"/>
      <c r="J86" s="170"/>
    </row>
    <row r="87" ht="14.25" customHeight="1">
      <c r="A87" s="131">
        <v>29.0</v>
      </c>
      <c r="B87" s="164">
        <v>46872.0</v>
      </c>
      <c r="C87" s="146"/>
      <c r="D87" s="135">
        <f t="shared" si="6"/>
        <v>103.3</v>
      </c>
      <c r="E87" s="135">
        <f t="shared" si="7"/>
        <v>1291.1</v>
      </c>
      <c r="F87" s="133">
        <f t="shared" si="8"/>
        <v>1394.4</v>
      </c>
      <c r="G87" s="135">
        <f t="shared" si="9"/>
        <v>9037.3</v>
      </c>
      <c r="H87" s="170"/>
      <c r="I87" s="170"/>
      <c r="J87" s="170"/>
    </row>
    <row r="88" ht="14.25" customHeight="1">
      <c r="A88" s="131">
        <v>30.0</v>
      </c>
      <c r="B88" s="164">
        <v>46902.0</v>
      </c>
      <c r="C88" s="146"/>
      <c r="D88" s="135">
        <f t="shared" si="6"/>
        <v>90.4</v>
      </c>
      <c r="E88" s="135">
        <f t="shared" si="7"/>
        <v>1291.1</v>
      </c>
      <c r="F88" s="133">
        <f t="shared" si="8"/>
        <v>1381.5</v>
      </c>
      <c r="G88" s="135">
        <f t="shared" si="9"/>
        <v>7746.2</v>
      </c>
      <c r="H88" s="170"/>
      <c r="I88" s="170"/>
      <c r="J88" s="170"/>
    </row>
    <row r="89" ht="14.25" customHeight="1">
      <c r="A89" s="131">
        <v>31.0</v>
      </c>
      <c r="B89" s="164">
        <v>46933.0</v>
      </c>
      <c r="C89" s="146"/>
      <c r="D89" s="135">
        <f t="shared" si="6"/>
        <v>77.5</v>
      </c>
      <c r="E89" s="135">
        <f t="shared" si="7"/>
        <v>1291.1</v>
      </c>
      <c r="F89" s="133">
        <f t="shared" si="8"/>
        <v>1368.6</v>
      </c>
      <c r="G89" s="135">
        <f t="shared" si="9"/>
        <v>6455.1</v>
      </c>
      <c r="H89" s="170"/>
      <c r="I89" s="170"/>
      <c r="J89" s="170"/>
    </row>
    <row r="90" ht="14.25" customHeight="1">
      <c r="A90" s="131">
        <v>32.0</v>
      </c>
      <c r="B90" s="164">
        <v>46963.0</v>
      </c>
      <c r="C90" s="146"/>
      <c r="D90" s="135">
        <f t="shared" si="6"/>
        <v>64.6</v>
      </c>
      <c r="E90" s="135">
        <f t="shared" si="7"/>
        <v>1291.1</v>
      </c>
      <c r="F90" s="133">
        <f t="shared" si="8"/>
        <v>1355.7</v>
      </c>
      <c r="G90" s="135">
        <f t="shared" si="9"/>
        <v>5164</v>
      </c>
      <c r="H90" s="170"/>
      <c r="I90" s="170"/>
      <c r="J90" s="170"/>
    </row>
    <row r="91" ht="14.25" customHeight="1">
      <c r="A91" s="131">
        <v>33.0</v>
      </c>
      <c r="B91" s="164">
        <v>46994.0</v>
      </c>
      <c r="C91" s="146"/>
      <c r="D91" s="135">
        <f t="shared" si="6"/>
        <v>51.6</v>
      </c>
      <c r="E91" s="135">
        <f t="shared" si="7"/>
        <v>1291.1</v>
      </c>
      <c r="F91" s="133">
        <f t="shared" si="8"/>
        <v>1342.7</v>
      </c>
      <c r="G91" s="135">
        <f t="shared" si="9"/>
        <v>3872.9</v>
      </c>
      <c r="H91" s="170"/>
      <c r="I91" s="170"/>
      <c r="J91" s="170"/>
    </row>
    <row r="92" ht="14.25" customHeight="1">
      <c r="A92" s="131">
        <v>34.0</v>
      </c>
      <c r="B92" s="164">
        <v>47025.0</v>
      </c>
      <c r="C92" s="146"/>
      <c r="D92" s="135">
        <f t="shared" si="6"/>
        <v>38.7</v>
      </c>
      <c r="E92" s="135">
        <f t="shared" si="7"/>
        <v>1291.1</v>
      </c>
      <c r="F92" s="133">
        <f t="shared" si="8"/>
        <v>1329.8</v>
      </c>
      <c r="G92" s="135">
        <f t="shared" si="9"/>
        <v>2581.8</v>
      </c>
      <c r="H92" s="170"/>
      <c r="I92" s="170"/>
      <c r="J92" s="170"/>
    </row>
    <row r="93" ht="14.25" customHeight="1">
      <c r="A93" s="131">
        <v>35.0</v>
      </c>
      <c r="B93" s="164">
        <v>47055.0</v>
      </c>
      <c r="C93" s="146"/>
      <c r="D93" s="135">
        <f t="shared" si="6"/>
        <v>25.8</v>
      </c>
      <c r="E93" s="135">
        <f t="shared" si="7"/>
        <v>1291.1</v>
      </c>
      <c r="F93" s="133">
        <f t="shared" si="8"/>
        <v>1316.9</v>
      </c>
      <c r="G93" s="135">
        <f t="shared" si="9"/>
        <v>1290.7</v>
      </c>
      <c r="H93" s="170"/>
      <c r="I93" s="170"/>
      <c r="J93" s="170"/>
    </row>
    <row r="94" ht="14.25" customHeight="1">
      <c r="A94" s="131">
        <v>36.0</v>
      </c>
      <c r="B94" s="164">
        <v>47086.0</v>
      </c>
      <c r="C94" s="146"/>
      <c r="D94" s="135">
        <f t="shared" si="6"/>
        <v>12.9</v>
      </c>
      <c r="E94" s="135">
        <f>ROUNDUP($C$58/36,1)-0.4</f>
        <v>1290.7</v>
      </c>
      <c r="F94" s="133">
        <f t="shared" si="8"/>
        <v>1303.6</v>
      </c>
      <c r="G94" s="135">
        <f t="shared" si="9"/>
        <v>0</v>
      </c>
      <c r="H94" s="170"/>
      <c r="I94" s="170"/>
      <c r="J94" s="170"/>
    </row>
    <row r="95" ht="14.25" customHeight="1">
      <c r="A95" s="129" t="s">
        <v>252</v>
      </c>
      <c r="B95" s="2"/>
      <c r="C95" s="3"/>
      <c r="D95" s="147">
        <f t="shared" ref="D95:F95" si="10">+SUM(D59:D94)</f>
        <v>8598.6</v>
      </c>
      <c r="E95" s="147">
        <f t="shared" si="10"/>
        <v>46479.2</v>
      </c>
      <c r="F95" s="147">
        <f t="shared" si="10"/>
        <v>55077.8</v>
      </c>
      <c r="G95" s="148"/>
    </row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6">
    <mergeCell ref="A1:G1"/>
    <mergeCell ref="A2:G2"/>
    <mergeCell ref="A53:C53"/>
    <mergeCell ref="A55:G55"/>
    <mergeCell ref="A56:G56"/>
    <mergeCell ref="A95:C95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378</v>
      </c>
      <c r="B1" s="2"/>
      <c r="C1" s="2"/>
      <c r="D1" s="2"/>
      <c r="E1" s="2"/>
      <c r="F1" s="2"/>
      <c r="G1" s="3"/>
    </row>
    <row r="2" ht="14.25" customHeight="1">
      <c r="A2" s="129" t="s">
        <v>351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45929.0</v>
      </c>
      <c r="C4" s="133">
        <f>+J7</f>
        <v>42623.9</v>
      </c>
      <c r="D4" s="134">
        <v>0.01</v>
      </c>
      <c r="E4" s="135"/>
      <c r="F4" s="135"/>
      <c r="G4" s="135">
        <f>+C4</f>
        <v>42623.9</v>
      </c>
    </row>
    <row r="5" ht="14.25" customHeight="1">
      <c r="A5" s="136">
        <v>1.0</v>
      </c>
      <c r="B5" s="137">
        <v>45959.0</v>
      </c>
      <c r="C5" s="145"/>
      <c r="D5" s="138">
        <f t="shared" ref="D5:D88" si="1">+ROUND(G4*0.01,1)</f>
        <v>426.2</v>
      </c>
      <c r="E5" s="138">
        <f t="shared" ref="E5:E87" si="2">ROUNDDOWN($C$4/84,1)</f>
        <v>507.4</v>
      </c>
      <c r="F5" s="139">
        <f t="shared" ref="F5:F88" si="3">+ROUND(D5+E5,1)</f>
        <v>933.6</v>
      </c>
      <c r="G5" s="138">
        <f t="shared" ref="G5:G88" si="4">+ROUND(G4-E5,1)</f>
        <v>42116.5</v>
      </c>
      <c r="I5" s="140" t="s">
        <v>209</v>
      </c>
      <c r="J5" s="141">
        <v>34623.9</v>
      </c>
    </row>
    <row r="6" ht="14.25" customHeight="1">
      <c r="A6" s="136">
        <v>2.0</v>
      </c>
      <c r="B6" s="137">
        <v>45990.0</v>
      </c>
      <c r="C6" s="145"/>
      <c r="D6" s="138">
        <f t="shared" si="1"/>
        <v>421.2</v>
      </c>
      <c r="E6" s="138">
        <f t="shared" si="2"/>
        <v>507.4</v>
      </c>
      <c r="F6" s="139">
        <f t="shared" si="3"/>
        <v>928.6</v>
      </c>
      <c r="G6" s="138">
        <f t="shared" si="4"/>
        <v>41609.1</v>
      </c>
      <c r="I6" s="140" t="s">
        <v>331</v>
      </c>
      <c r="J6" s="141">
        <v>8000.0</v>
      </c>
    </row>
    <row r="7" ht="14.25" customHeight="1">
      <c r="A7" s="136">
        <v>3.0</v>
      </c>
      <c r="B7" s="137">
        <v>46020.0</v>
      </c>
      <c r="C7" s="145"/>
      <c r="D7" s="138">
        <f t="shared" si="1"/>
        <v>416.1</v>
      </c>
      <c r="E7" s="138">
        <f t="shared" si="2"/>
        <v>507.4</v>
      </c>
      <c r="F7" s="139">
        <f t="shared" si="3"/>
        <v>923.5</v>
      </c>
      <c r="G7" s="138">
        <f t="shared" si="4"/>
        <v>41101.7</v>
      </c>
      <c r="I7" s="142" t="s">
        <v>252</v>
      </c>
      <c r="J7" s="143">
        <f>+SUM(J5:J6)</f>
        <v>42623.9</v>
      </c>
    </row>
    <row r="8" ht="14.25" customHeight="1">
      <c r="A8" s="131">
        <v>4.0</v>
      </c>
      <c r="B8" s="132">
        <v>46051.0</v>
      </c>
      <c r="C8" s="146"/>
      <c r="D8" s="135">
        <f t="shared" si="1"/>
        <v>411</v>
      </c>
      <c r="E8" s="135">
        <f t="shared" si="2"/>
        <v>507.4</v>
      </c>
      <c r="F8" s="133">
        <f t="shared" si="3"/>
        <v>918.4</v>
      </c>
      <c r="G8" s="135">
        <f t="shared" si="4"/>
        <v>40594.3</v>
      </c>
    </row>
    <row r="9" ht="14.25" customHeight="1">
      <c r="A9" s="131">
        <v>5.0</v>
      </c>
      <c r="B9" s="132">
        <v>46081.0</v>
      </c>
      <c r="C9" s="146"/>
      <c r="D9" s="135">
        <f t="shared" si="1"/>
        <v>405.9</v>
      </c>
      <c r="E9" s="135">
        <f t="shared" si="2"/>
        <v>507.4</v>
      </c>
      <c r="F9" s="133">
        <f t="shared" si="3"/>
        <v>913.3</v>
      </c>
      <c r="G9" s="135">
        <f t="shared" si="4"/>
        <v>40086.9</v>
      </c>
    </row>
    <row r="10" ht="14.25" customHeight="1">
      <c r="A10" s="131">
        <v>6.0</v>
      </c>
      <c r="B10" s="132">
        <v>46110.0</v>
      </c>
      <c r="C10" s="146"/>
      <c r="D10" s="135">
        <f t="shared" si="1"/>
        <v>400.9</v>
      </c>
      <c r="E10" s="135">
        <f t="shared" si="2"/>
        <v>507.4</v>
      </c>
      <c r="F10" s="133">
        <f t="shared" si="3"/>
        <v>908.3</v>
      </c>
      <c r="G10" s="135">
        <f t="shared" si="4"/>
        <v>39579.5</v>
      </c>
    </row>
    <row r="11" ht="14.25" customHeight="1">
      <c r="A11" s="131">
        <v>7.0</v>
      </c>
      <c r="B11" s="132">
        <v>46141.0</v>
      </c>
      <c r="C11" s="146"/>
      <c r="D11" s="135">
        <f t="shared" si="1"/>
        <v>395.8</v>
      </c>
      <c r="E11" s="135">
        <f t="shared" si="2"/>
        <v>507.4</v>
      </c>
      <c r="F11" s="133">
        <f t="shared" si="3"/>
        <v>903.2</v>
      </c>
      <c r="G11" s="135">
        <f t="shared" si="4"/>
        <v>39072.1</v>
      </c>
    </row>
    <row r="12" ht="14.25" customHeight="1">
      <c r="A12" s="131">
        <v>8.0</v>
      </c>
      <c r="B12" s="132">
        <v>46171.0</v>
      </c>
      <c r="C12" s="146"/>
      <c r="D12" s="135">
        <f t="shared" si="1"/>
        <v>390.7</v>
      </c>
      <c r="E12" s="135">
        <f t="shared" si="2"/>
        <v>507.4</v>
      </c>
      <c r="F12" s="133">
        <f t="shared" si="3"/>
        <v>898.1</v>
      </c>
      <c r="G12" s="135">
        <f t="shared" si="4"/>
        <v>38564.7</v>
      </c>
    </row>
    <row r="13" ht="14.25" customHeight="1">
      <c r="A13" s="131">
        <v>9.0</v>
      </c>
      <c r="B13" s="132">
        <v>46202.0</v>
      </c>
      <c r="C13" s="146"/>
      <c r="D13" s="135">
        <f t="shared" si="1"/>
        <v>385.6</v>
      </c>
      <c r="E13" s="135">
        <f t="shared" si="2"/>
        <v>507.4</v>
      </c>
      <c r="F13" s="133">
        <f t="shared" si="3"/>
        <v>893</v>
      </c>
      <c r="G13" s="135">
        <f t="shared" si="4"/>
        <v>38057.3</v>
      </c>
    </row>
    <row r="14" ht="14.25" customHeight="1">
      <c r="A14" s="131">
        <v>10.0</v>
      </c>
      <c r="B14" s="132">
        <v>46232.0</v>
      </c>
      <c r="C14" s="146"/>
      <c r="D14" s="135">
        <f t="shared" si="1"/>
        <v>380.6</v>
      </c>
      <c r="E14" s="135">
        <f t="shared" si="2"/>
        <v>507.4</v>
      </c>
      <c r="F14" s="133">
        <f t="shared" si="3"/>
        <v>888</v>
      </c>
      <c r="G14" s="135">
        <f t="shared" si="4"/>
        <v>37549.9</v>
      </c>
    </row>
    <row r="15" ht="14.25" customHeight="1">
      <c r="A15" s="131">
        <v>11.0</v>
      </c>
      <c r="B15" s="132">
        <v>46263.0</v>
      </c>
      <c r="C15" s="146"/>
      <c r="D15" s="135">
        <f t="shared" si="1"/>
        <v>375.5</v>
      </c>
      <c r="E15" s="135">
        <f t="shared" si="2"/>
        <v>507.4</v>
      </c>
      <c r="F15" s="133">
        <f t="shared" si="3"/>
        <v>882.9</v>
      </c>
      <c r="G15" s="135">
        <f t="shared" si="4"/>
        <v>37042.5</v>
      </c>
    </row>
    <row r="16" ht="14.25" customHeight="1">
      <c r="A16" s="131">
        <v>12.0</v>
      </c>
      <c r="B16" s="132">
        <v>46294.0</v>
      </c>
      <c r="C16" s="146"/>
      <c r="D16" s="135">
        <f t="shared" si="1"/>
        <v>370.4</v>
      </c>
      <c r="E16" s="135">
        <f t="shared" si="2"/>
        <v>507.4</v>
      </c>
      <c r="F16" s="133">
        <f t="shared" si="3"/>
        <v>877.8</v>
      </c>
      <c r="G16" s="135">
        <f t="shared" si="4"/>
        <v>36535.1</v>
      </c>
    </row>
    <row r="17" ht="14.25" customHeight="1">
      <c r="A17" s="131">
        <v>13.0</v>
      </c>
      <c r="B17" s="132">
        <v>46324.0</v>
      </c>
      <c r="C17" s="146"/>
      <c r="D17" s="135">
        <f t="shared" si="1"/>
        <v>365.4</v>
      </c>
      <c r="E17" s="135">
        <f t="shared" si="2"/>
        <v>507.4</v>
      </c>
      <c r="F17" s="133">
        <f t="shared" si="3"/>
        <v>872.8</v>
      </c>
      <c r="G17" s="135">
        <f t="shared" si="4"/>
        <v>36027.7</v>
      </c>
    </row>
    <row r="18" ht="14.25" customHeight="1">
      <c r="A18" s="131">
        <v>14.0</v>
      </c>
      <c r="B18" s="132">
        <v>46355.0</v>
      </c>
      <c r="C18" s="146"/>
      <c r="D18" s="135">
        <f t="shared" si="1"/>
        <v>360.3</v>
      </c>
      <c r="E18" s="135">
        <f t="shared" si="2"/>
        <v>507.4</v>
      </c>
      <c r="F18" s="133">
        <f t="shared" si="3"/>
        <v>867.7</v>
      </c>
      <c r="G18" s="135">
        <f t="shared" si="4"/>
        <v>35520.3</v>
      </c>
    </row>
    <row r="19" ht="14.25" customHeight="1">
      <c r="A19" s="131">
        <v>15.0</v>
      </c>
      <c r="B19" s="132">
        <v>46385.0</v>
      </c>
      <c r="C19" s="146"/>
      <c r="D19" s="135">
        <f t="shared" si="1"/>
        <v>355.2</v>
      </c>
      <c r="E19" s="135">
        <f t="shared" si="2"/>
        <v>507.4</v>
      </c>
      <c r="F19" s="133">
        <f t="shared" si="3"/>
        <v>862.6</v>
      </c>
      <c r="G19" s="135">
        <f t="shared" si="4"/>
        <v>35012.9</v>
      </c>
    </row>
    <row r="20" ht="14.25" customHeight="1">
      <c r="A20" s="131">
        <v>16.0</v>
      </c>
      <c r="B20" s="132">
        <v>46416.0</v>
      </c>
      <c r="C20" s="146"/>
      <c r="D20" s="135">
        <f t="shared" si="1"/>
        <v>350.1</v>
      </c>
      <c r="E20" s="135">
        <f t="shared" si="2"/>
        <v>507.4</v>
      </c>
      <c r="F20" s="133">
        <f t="shared" si="3"/>
        <v>857.5</v>
      </c>
      <c r="G20" s="135">
        <f t="shared" si="4"/>
        <v>34505.5</v>
      </c>
    </row>
    <row r="21" ht="14.25" customHeight="1">
      <c r="A21" s="131">
        <v>17.0</v>
      </c>
      <c r="B21" s="132">
        <v>46446.0</v>
      </c>
      <c r="C21" s="146"/>
      <c r="D21" s="135">
        <f t="shared" si="1"/>
        <v>345.1</v>
      </c>
      <c r="E21" s="135">
        <f t="shared" si="2"/>
        <v>507.4</v>
      </c>
      <c r="F21" s="133">
        <f t="shared" si="3"/>
        <v>852.5</v>
      </c>
      <c r="G21" s="135">
        <f t="shared" si="4"/>
        <v>33998.1</v>
      </c>
    </row>
    <row r="22" ht="14.25" customHeight="1">
      <c r="A22" s="131">
        <v>18.0</v>
      </c>
      <c r="B22" s="132">
        <v>46475.0</v>
      </c>
      <c r="C22" s="146"/>
      <c r="D22" s="135">
        <f t="shared" si="1"/>
        <v>340</v>
      </c>
      <c r="E22" s="135">
        <f t="shared" si="2"/>
        <v>507.4</v>
      </c>
      <c r="F22" s="133">
        <f t="shared" si="3"/>
        <v>847.4</v>
      </c>
      <c r="G22" s="135">
        <f t="shared" si="4"/>
        <v>33490.7</v>
      </c>
    </row>
    <row r="23" ht="14.25" customHeight="1">
      <c r="A23" s="131">
        <v>19.0</v>
      </c>
      <c r="B23" s="132">
        <v>46506.0</v>
      </c>
      <c r="C23" s="146"/>
      <c r="D23" s="135">
        <f t="shared" si="1"/>
        <v>334.9</v>
      </c>
      <c r="E23" s="135">
        <f t="shared" si="2"/>
        <v>507.4</v>
      </c>
      <c r="F23" s="133">
        <f t="shared" si="3"/>
        <v>842.3</v>
      </c>
      <c r="G23" s="135">
        <f t="shared" si="4"/>
        <v>32983.3</v>
      </c>
    </row>
    <row r="24" ht="14.25" customHeight="1">
      <c r="A24" s="131">
        <v>20.0</v>
      </c>
      <c r="B24" s="132">
        <v>46536.0</v>
      </c>
      <c r="C24" s="146"/>
      <c r="D24" s="135">
        <f t="shared" si="1"/>
        <v>329.8</v>
      </c>
      <c r="E24" s="135">
        <f t="shared" si="2"/>
        <v>507.4</v>
      </c>
      <c r="F24" s="133">
        <f t="shared" si="3"/>
        <v>837.2</v>
      </c>
      <c r="G24" s="135">
        <f t="shared" si="4"/>
        <v>32475.9</v>
      </c>
    </row>
    <row r="25" ht="14.25" customHeight="1">
      <c r="A25" s="131">
        <v>21.0</v>
      </c>
      <c r="B25" s="132">
        <v>46567.0</v>
      </c>
      <c r="C25" s="146"/>
      <c r="D25" s="135">
        <f t="shared" si="1"/>
        <v>324.8</v>
      </c>
      <c r="E25" s="135">
        <f t="shared" si="2"/>
        <v>507.4</v>
      </c>
      <c r="F25" s="133">
        <f t="shared" si="3"/>
        <v>832.2</v>
      </c>
      <c r="G25" s="135">
        <f t="shared" si="4"/>
        <v>31968.5</v>
      </c>
    </row>
    <row r="26" ht="14.25" customHeight="1">
      <c r="A26" s="131">
        <v>22.0</v>
      </c>
      <c r="B26" s="132">
        <v>46597.0</v>
      </c>
      <c r="C26" s="146"/>
      <c r="D26" s="135">
        <f t="shared" si="1"/>
        <v>319.7</v>
      </c>
      <c r="E26" s="135">
        <f t="shared" si="2"/>
        <v>507.4</v>
      </c>
      <c r="F26" s="133">
        <f t="shared" si="3"/>
        <v>827.1</v>
      </c>
      <c r="G26" s="135">
        <f t="shared" si="4"/>
        <v>31461.1</v>
      </c>
    </row>
    <row r="27" ht="14.25" customHeight="1">
      <c r="A27" s="131">
        <v>23.0</v>
      </c>
      <c r="B27" s="132">
        <v>46628.0</v>
      </c>
      <c r="C27" s="146"/>
      <c r="D27" s="135">
        <f t="shared" si="1"/>
        <v>314.6</v>
      </c>
      <c r="E27" s="135">
        <f t="shared" si="2"/>
        <v>507.4</v>
      </c>
      <c r="F27" s="133">
        <f t="shared" si="3"/>
        <v>822</v>
      </c>
      <c r="G27" s="135">
        <f t="shared" si="4"/>
        <v>30953.7</v>
      </c>
    </row>
    <row r="28" ht="14.25" customHeight="1">
      <c r="A28" s="131">
        <v>24.0</v>
      </c>
      <c r="B28" s="132">
        <v>46659.0</v>
      </c>
      <c r="C28" s="146"/>
      <c r="D28" s="135">
        <f t="shared" si="1"/>
        <v>309.5</v>
      </c>
      <c r="E28" s="135">
        <f t="shared" si="2"/>
        <v>507.4</v>
      </c>
      <c r="F28" s="133">
        <f t="shared" si="3"/>
        <v>816.9</v>
      </c>
      <c r="G28" s="135">
        <f t="shared" si="4"/>
        <v>30446.3</v>
      </c>
    </row>
    <row r="29" ht="14.25" customHeight="1">
      <c r="A29" s="131">
        <v>25.0</v>
      </c>
      <c r="B29" s="132">
        <v>46689.0</v>
      </c>
      <c r="C29" s="146"/>
      <c r="D29" s="135">
        <f t="shared" si="1"/>
        <v>304.5</v>
      </c>
      <c r="E29" s="135">
        <f t="shared" si="2"/>
        <v>507.4</v>
      </c>
      <c r="F29" s="133">
        <f t="shared" si="3"/>
        <v>811.9</v>
      </c>
      <c r="G29" s="135">
        <f t="shared" si="4"/>
        <v>29938.9</v>
      </c>
    </row>
    <row r="30" ht="14.25" customHeight="1">
      <c r="A30" s="131">
        <v>26.0</v>
      </c>
      <c r="B30" s="132">
        <v>46720.0</v>
      </c>
      <c r="C30" s="146"/>
      <c r="D30" s="135">
        <f t="shared" si="1"/>
        <v>299.4</v>
      </c>
      <c r="E30" s="135">
        <f t="shared" si="2"/>
        <v>507.4</v>
      </c>
      <c r="F30" s="133">
        <f t="shared" si="3"/>
        <v>806.8</v>
      </c>
      <c r="G30" s="135">
        <f t="shared" si="4"/>
        <v>29431.5</v>
      </c>
    </row>
    <row r="31" ht="14.25" customHeight="1">
      <c r="A31" s="131">
        <v>27.0</v>
      </c>
      <c r="B31" s="132">
        <v>46750.0</v>
      </c>
      <c r="C31" s="146"/>
      <c r="D31" s="135">
        <f t="shared" si="1"/>
        <v>294.3</v>
      </c>
      <c r="E31" s="135">
        <f t="shared" si="2"/>
        <v>507.4</v>
      </c>
      <c r="F31" s="133">
        <f t="shared" si="3"/>
        <v>801.7</v>
      </c>
      <c r="G31" s="135">
        <f t="shared" si="4"/>
        <v>28924.1</v>
      </c>
    </row>
    <row r="32" ht="14.25" customHeight="1">
      <c r="A32" s="131">
        <v>28.0</v>
      </c>
      <c r="B32" s="132">
        <v>46781.0</v>
      </c>
      <c r="C32" s="146"/>
      <c r="D32" s="135">
        <f t="shared" si="1"/>
        <v>289.2</v>
      </c>
      <c r="E32" s="135">
        <f t="shared" si="2"/>
        <v>507.4</v>
      </c>
      <c r="F32" s="133">
        <f t="shared" si="3"/>
        <v>796.6</v>
      </c>
      <c r="G32" s="135">
        <f t="shared" si="4"/>
        <v>28416.7</v>
      </c>
    </row>
    <row r="33" ht="14.25" customHeight="1">
      <c r="A33" s="131">
        <v>29.0</v>
      </c>
      <c r="B33" s="132">
        <v>46812.0</v>
      </c>
      <c r="C33" s="146"/>
      <c r="D33" s="135">
        <f t="shared" si="1"/>
        <v>284.2</v>
      </c>
      <c r="E33" s="135">
        <f t="shared" si="2"/>
        <v>507.4</v>
      </c>
      <c r="F33" s="133">
        <f t="shared" si="3"/>
        <v>791.6</v>
      </c>
      <c r="G33" s="135">
        <f t="shared" si="4"/>
        <v>27909.3</v>
      </c>
    </row>
    <row r="34" ht="14.25" customHeight="1">
      <c r="A34" s="131">
        <v>30.0</v>
      </c>
      <c r="B34" s="132">
        <v>46841.0</v>
      </c>
      <c r="C34" s="146"/>
      <c r="D34" s="135">
        <f t="shared" si="1"/>
        <v>279.1</v>
      </c>
      <c r="E34" s="135">
        <f t="shared" si="2"/>
        <v>507.4</v>
      </c>
      <c r="F34" s="133">
        <f t="shared" si="3"/>
        <v>786.5</v>
      </c>
      <c r="G34" s="135">
        <f t="shared" si="4"/>
        <v>27401.9</v>
      </c>
    </row>
    <row r="35" ht="14.25" customHeight="1">
      <c r="A35" s="131">
        <v>31.0</v>
      </c>
      <c r="B35" s="132">
        <v>46872.0</v>
      </c>
      <c r="C35" s="146"/>
      <c r="D35" s="135">
        <f t="shared" si="1"/>
        <v>274</v>
      </c>
      <c r="E35" s="135">
        <f t="shared" si="2"/>
        <v>507.4</v>
      </c>
      <c r="F35" s="133">
        <f t="shared" si="3"/>
        <v>781.4</v>
      </c>
      <c r="G35" s="135">
        <f t="shared" si="4"/>
        <v>26894.5</v>
      </c>
    </row>
    <row r="36" ht="14.25" customHeight="1">
      <c r="A36" s="131">
        <v>32.0</v>
      </c>
      <c r="B36" s="132">
        <v>46902.0</v>
      </c>
      <c r="C36" s="146"/>
      <c r="D36" s="135">
        <f t="shared" si="1"/>
        <v>268.9</v>
      </c>
      <c r="E36" s="135">
        <f t="shared" si="2"/>
        <v>507.4</v>
      </c>
      <c r="F36" s="133">
        <f t="shared" si="3"/>
        <v>776.3</v>
      </c>
      <c r="G36" s="135">
        <f t="shared" si="4"/>
        <v>26387.1</v>
      </c>
    </row>
    <row r="37" ht="14.25" customHeight="1">
      <c r="A37" s="131">
        <v>33.0</v>
      </c>
      <c r="B37" s="132">
        <v>46933.0</v>
      </c>
      <c r="C37" s="146"/>
      <c r="D37" s="135">
        <f t="shared" si="1"/>
        <v>263.9</v>
      </c>
      <c r="E37" s="135">
        <f t="shared" si="2"/>
        <v>507.4</v>
      </c>
      <c r="F37" s="133">
        <f t="shared" si="3"/>
        <v>771.3</v>
      </c>
      <c r="G37" s="135">
        <f t="shared" si="4"/>
        <v>25879.7</v>
      </c>
    </row>
    <row r="38" ht="14.25" customHeight="1">
      <c r="A38" s="131">
        <v>34.0</v>
      </c>
      <c r="B38" s="132">
        <v>46963.0</v>
      </c>
      <c r="C38" s="146"/>
      <c r="D38" s="135">
        <f t="shared" si="1"/>
        <v>258.8</v>
      </c>
      <c r="E38" s="135">
        <f t="shared" si="2"/>
        <v>507.4</v>
      </c>
      <c r="F38" s="133">
        <f t="shared" si="3"/>
        <v>766.2</v>
      </c>
      <c r="G38" s="135">
        <f t="shared" si="4"/>
        <v>25372.3</v>
      </c>
    </row>
    <row r="39" ht="14.25" customHeight="1">
      <c r="A39" s="131">
        <v>35.0</v>
      </c>
      <c r="B39" s="132">
        <v>46994.0</v>
      </c>
      <c r="C39" s="146"/>
      <c r="D39" s="135">
        <f t="shared" si="1"/>
        <v>253.7</v>
      </c>
      <c r="E39" s="135">
        <f t="shared" si="2"/>
        <v>507.4</v>
      </c>
      <c r="F39" s="133">
        <f t="shared" si="3"/>
        <v>761.1</v>
      </c>
      <c r="G39" s="135">
        <f t="shared" si="4"/>
        <v>24864.9</v>
      </c>
    </row>
    <row r="40" ht="14.25" customHeight="1">
      <c r="A40" s="131">
        <v>36.0</v>
      </c>
      <c r="B40" s="132">
        <v>47025.0</v>
      </c>
      <c r="C40" s="146"/>
      <c r="D40" s="135">
        <f t="shared" si="1"/>
        <v>248.6</v>
      </c>
      <c r="E40" s="135">
        <f t="shared" si="2"/>
        <v>507.4</v>
      </c>
      <c r="F40" s="133">
        <f t="shared" si="3"/>
        <v>756</v>
      </c>
      <c r="G40" s="135">
        <f t="shared" si="4"/>
        <v>24357.5</v>
      </c>
    </row>
    <row r="41" ht="14.25" customHeight="1">
      <c r="A41" s="131">
        <v>37.0</v>
      </c>
      <c r="B41" s="132">
        <v>47055.0</v>
      </c>
      <c r="C41" s="146"/>
      <c r="D41" s="135">
        <f t="shared" si="1"/>
        <v>243.6</v>
      </c>
      <c r="E41" s="135">
        <f t="shared" si="2"/>
        <v>507.4</v>
      </c>
      <c r="F41" s="133">
        <f t="shared" si="3"/>
        <v>751</v>
      </c>
      <c r="G41" s="135">
        <f t="shared" si="4"/>
        <v>23850.1</v>
      </c>
    </row>
    <row r="42" ht="14.25" customHeight="1">
      <c r="A42" s="131">
        <v>38.0</v>
      </c>
      <c r="B42" s="132">
        <v>47086.0</v>
      </c>
      <c r="C42" s="146"/>
      <c r="D42" s="135">
        <f t="shared" si="1"/>
        <v>238.5</v>
      </c>
      <c r="E42" s="135">
        <f t="shared" si="2"/>
        <v>507.4</v>
      </c>
      <c r="F42" s="133">
        <f t="shared" si="3"/>
        <v>745.9</v>
      </c>
      <c r="G42" s="135">
        <f t="shared" si="4"/>
        <v>23342.7</v>
      </c>
    </row>
    <row r="43" ht="14.25" customHeight="1">
      <c r="A43" s="131">
        <v>39.0</v>
      </c>
      <c r="B43" s="132">
        <v>47116.0</v>
      </c>
      <c r="C43" s="146"/>
      <c r="D43" s="135">
        <f t="shared" si="1"/>
        <v>233.4</v>
      </c>
      <c r="E43" s="135">
        <f t="shared" si="2"/>
        <v>507.4</v>
      </c>
      <c r="F43" s="133">
        <f t="shared" si="3"/>
        <v>740.8</v>
      </c>
      <c r="G43" s="135">
        <f t="shared" si="4"/>
        <v>22835.3</v>
      </c>
    </row>
    <row r="44" ht="14.25" customHeight="1">
      <c r="A44" s="131">
        <v>40.0</v>
      </c>
      <c r="B44" s="132">
        <v>47147.0</v>
      </c>
      <c r="C44" s="146"/>
      <c r="D44" s="135">
        <f t="shared" si="1"/>
        <v>228.4</v>
      </c>
      <c r="E44" s="135">
        <f t="shared" si="2"/>
        <v>507.4</v>
      </c>
      <c r="F44" s="133">
        <f t="shared" si="3"/>
        <v>735.8</v>
      </c>
      <c r="G44" s="135">
        <f t="shared" si="4"/>
        <v>22327.9</v>
      </c>
    </row>
    <row r="45" ht="14.25" customHeight="1">
      <c r="A45" s="131">
        <v>41.0</v>
      </c>
      <c r="B45" s="132">
        <v>47177.0</v>
      </c>
      <c r="C45" s="146"/>
      <c r="D45" s="135">
        <f t="shared" si="1"/>
        <v>223.3</v>
      </c>
      <c r="E45" s="135">
        <f t="shared" si="2"/>
        <v>507.4</v>
      </c>
      <c r="F45" s="133">
        <f t="shared" si="3"/>
        <v>730.7</v>
      </c>
      <c r="G45" s="135">
        <f t="shared" si="4"/>
        <v>21820.5</v>
      </c>
    </row>
    <row r="46" ht="14.25" customHeight="1">
      <c r="A46" s="131">
        <v>42.0</v>
      </c>
      <c r="B46" s="132">
        <v>47206.0</v>
      </c>
      <c r="C46" s="146"/>
      <c r="D46" s="135">
        <f t="shared" si="1"/>
        <v>218.2</v>
      </c>
      <c r="E46" s="135">
        <f t="shared" si="2"/>
        <v>507.4</v>
      </c>
      <c r="F46" s="133">
        <f t="shared" si="3"/>
        <v>725.6</v>
      </c>
      <c r="G46" s="135">
        <f t="shared" si="4"/>
        <v>21313.1</v>
      </c>
    </row>
    <row r="47" ht="14.25" customHeight="1">
      <c r="A47" s="131">
        <v>43.0</v>
      </c>
      <c r="B47" s="132">
        <v>47237.0</v>
      </c>
      <c r="C47" s="146"/>
      <c r="D47" s="135">
        <f t="shared" si="1"/>
        <v>213.1</v>
      </c>
      <c r="E47" s="135">
        <f t="shared" si="2"/>
        <v>507.4</v>
      </c>
      <c r="F47" s="133">
        <f t="shared" si="3"/>
        <v>720.5</v>
      </c>
      <c r="G47" s="135">
        <f t="shared" si="4"/>
        <v>20805.7</v>
      </c>
    </row>
    <row r="48" ht="14.25" customHeight="1">
      <c r="A48" s="131">
        <v>44.0</v>
      </c>
      <c r="B48" s="132">
        <v>47267.0</v>
      </c>
      <c r="C48" s="146"/>
      <c r="D48" s="135">
        <f t="shared" si="1"/>
        <v>208.1</v>
      </c>
      <c r="E48" s="135">
        <f t="shared" si="2"/>
        <v>507.4</v>
      </c>
      <c r="F48" s="133">
        <f t="shared" si="3"/>
        <v>715.5</v>
      </c>
      <c r="G48" s="135">
        <f t="shared" si="4"/>
        <v>20298.3</v>
      </c>
    </row>
    <row r="49" ht="14.25" customHeight="1">
      <c r="A49" s="131">
        <v>45.0</v>
      </c>
      <c r="B49" s="132">
        <v>47298.0</v>
      </c>
      <c r="C49" s="146"/>
      <c r="D49" s="135">
        <f t="shared" si="1"/>
        <v>203</v>
      </c>
      <c r="E49" s="135">
        <f t="shared" si="2"/>
        <v>507.4</v>
      </c>
      <c r="F49" s="133">
        <f t="shared" si="3"/>
        <v>710.4</v>
      </c>
      <c r="G49" s="135">
        <f t="shared" si="4"/>
        <v>19790.9</v>
      </c>
    </row>
    <row r="50" ht="14.25" customHeight="1">
      <c r="A50" s="131">
        <v>46.0</v>
      </c>
      <c r="B50" s="132">
        <v>47328.0</v>
      </c>
      <c r="C50" s="146"/>
      <c r="D50" s="135">
        <f t="shared" si="1"/>
        <v>197.9</v>
      </c>
      <c r="E50" s="135">
        <f t="shared" si="2"/>
        <v>507.4</v>
      </c>
      <c r="F50" s="133">
        <f t="shared" si="3"/>
        <v>705.3</v>
      </c>
      <c r="G50" s="135">
        <f t="shared" si="4"/>
        <v>19283.5</v>
      </c>
    </row>
    <row r="51" ht="14.25" customHeight="1">
      <c r="A51" s="131">
        <v>47.0</v>
      </c>
      <c r="B51" s="132">
        <v>47359.0</v>
      </c>
      <c r="C51" s="146"/>
      <c r="D51" s="135">
        <f t="shared" si="1"/>
        <v>192.8</v>
      </c>
      <c r="E51" s="135">
        <f t="shared" si="2"/>
        <v>507.4</v>
      </c>
      <c r="F51" s="133">
        <f t="shared" si="3"/>
        <v>700.2</v>
      </c>
      <c r="G51" s="135">
        <f t="shared" si="4"/>
        <v>18776.1</v>
      </c>
    </row>
    <row r="52" ht="14.25" customHeight="1">
      <c r="A52" s="131">
        <v>48.0</v>
      </c>
      <c r="B52" s="132">
        <v>47390.0</v>
      </c>
      <c r="C52" s="146"/>
      <c r="D52" s="135">
        <f t="shared" si="1"/>
        <v>187.8</v>
      </c>
      <c r="E52" s="135">
        <f t="shared" si="2"/>
        <v>507.4</v>
      </c>
      <c r="F52" s="133">
        <f t="shared" si="3"/>
        <v>695.2</v>
      </c>
      <c r="G52" s="135">
        <f t="shared" si="4"/>
        <v>18268.7</v>
      </c>
    </row>
    <row r="53" ht="14.25" customHeight="1">
      <c r="A53" s="131">
        <v>49.0</v>
      </c>
      <c r="B53" s="132">
        <v>47420.0</v>
      </c>
      <c r="C53" s="146"/>
      <c r="D53" s="135">
        <f t="shared" si="1"/>
        <v>182.7</v>
      </c>
      <c r="E53" s="135">
        <f t="shared" si="2"/>
        <v>507.4</v>
      </c>
      <c r="F53" s="133">
        <f t="shared" si="3"/>
        <v>690.1</v>
      </c>
      <c r="G53" s="135">
        <f t="shared" si="4"/>
        <v>17761.3</v>
      </c>
    </row>
    <row r="54" ht="14.25" customHeight="1">
      <c r="A54" s="131">
        <v>50.0</v>
      </c>
      <c r="B54" s="132">
        <v>47451.0</v>
      </c>
      <c r="C54" s="146"/>
      <c r="D54" s="135">
        <f t="shared" si="1"/>
        <v>177.6</v>
      </c>
      <c r="E54" s="135">
        <f t="shared" si="2"/>
        <v>507.4</v>
      </c>
      <c r="F54" s="133">
        <f t="shared" si="3"/>
        <v>685</v>
      </c>
      <c r="G54" s="135">
        <f t="shared" si="4"/>
        <v>17253.9</v>
      </c>
    </row>
    <row r="55" ht="14.25" customHeight="1">
      <c r="A55" s="131">
        <v>51.0</v>
      </c>
      <c r="B55" s="132">
        <v>47481.0</v>
      </c>
      <c r="C55" s="146"/>
      <c r="D55" s="135">
        <f t="shared" si="1"/>
        <v>172.5</v>
      </c>
      <c r="E55" s="135">
        <f t="shared" si="2"/>
        <v>507.4</v>
      </c>
      <c r="F55" s="133">
        <f t="shared" si="3"/>
        <v>679.9</v>
      </c>
      <c r="G55" s="135">
        <f t="shared" si="4"/>
        <v>16746.5</v>
      </c>
    </row>
    <row r="56" ht="14.25" customHeight="1">
      <c r="A56" s="131">
        <v>52.0</v>
      </c>
      <c r="B56" s="132">
        <v>47512.0</v>
      </c>
      <c r="C56" s="146"/>
      <c r="D56" s="135">
        <f t="shared" si="1"/>
        <v>167.5</v>
      </c>
      <c r="E56" s="135">
        <f t="shared" si="2"/>
        <v>507.4</v>
      </c>
      <c r="F56" s="133">
        <f t="shared" si="3"/>
        <v>674.9</v>
      </c>
      <c r="G56" s="135">
        <f t="shared" si="4"/>
        <v>16239.1</v>
      </c>
    </row>
    <row r="57" ht="14.25" customHeight="1">
      <c r="A57" s="131">
        <v>53.0</v>
      </c>
      <c r="B57" s="132">
        <v>47542.0</v>
      </c>
      <c r="C57" s="146"/>
      <c r="D57" s="135">
        <f t="shared" si="1"/>
        <v>162.4</v>
      </c>
      <c r="E57" s="135">
        <f t="shared" si="2"/>
        <v>507.4</v>
      </c>
      <c r="F57" s="133">
        <f t="shared" si="3"/>
        <v>669.8</v>
      </c>
      <c r="G57" s="135">
        <f t="shared" si="4"/>
        <v>15731.7</v>
      </c>
    </row>
    <row r="58" ht="14.25" customHeight="1">
      <c r="A58" s="131">
        <v>54.0</v>
      </c>
      <c r="B58" s="132">
        <v>47571.0</v>
      </c>
      <c r="C58" s="146"/>
      <c r="D58" s="135">
        <f t="shared" si="1"/>
        <v>157.3</v>
      </c>
      <c r="E58" s="135">
        <f t="shared" si="2"/>
        <v>507.4</v>
      </c>
      <c r="F58" s="133">
        <f t="shared" si="3"/>
        <v>664.7</v>
      </c>
      <c r="G58" s="135">
        <f t="shared" si="4"/>
        <v>15224.3</v>
      </c>
    </row>
    <row r="59" ht="14.25" customHeight="1">
      <c r="A59" s="131">
        <v>55.0</v>
      </c>
      <c r="B59" s="132">
        <v>47602.0</v>
      </c>
      <c r="C59" s="146"/>
      <c r="D59" s="135">
        <f t="shared" si="1"/>
        <v>152.2</v>
      </c>
      <c r="E59" s="135">
        <f t="shared" si="2"/>
        <v>507.4</v>
      </c>
      <c r="F59" s="133">
        <f t="shared" si="3"/>
        <v>659.6</v>
      </c>
      <c r="G59" s="135">
        <f t="shared" si="4"/>
        <v>14716.9</v>
      </c>
    </row>
    <row r="60" ht="14.25" customHeight="1">
      <c r="A60" s="131">
        <v>56.0</v>
      </c>
      <c r="B60" s="132">
        <v>47632.0</v>
      </c>
      <c r="C60" s="146"/>
      <c r="D60" s="135">
        <f t="shared" si="1"/>
        <v>147.2</v>
      </c>
      <c r="E60" s="135">
        <f t="shared" si="2"/>
        <v>507.4</v>
      </c>
      <c r="F60" s="133">
        <f t="shared" si="3"/>
        <v>654.6</v>
      </c>
      <c r="G60" s="135">
        <f t="shared" si="4"/>
        <v>14209.5</v>
      </c>
    </row>
    <row r="61" ht="14.25" customHeight="1">
      <c r="A61" s="131">
        <v>57.0</v>
      </c>
      <c r="B61" s="132">
        <v>47663.0</v>
      </c>
      <c r="C61" s="146"/>
      <c r="D61" s="135">
        <f t="shared" si="1"/>
        <v>142.1</v>
      </c>
      <c r="E61" s="135">
        <f t="shared" si="2"/>
        <v>507.4</v>
      </c>
      <c r="F61" s="133">
        <f t="shared" si="3"/>
        <v>649.5</v>
      </c>
      <c r="G61" s="135">
        <f t="shared" si="4"/>
        <v>13702.1</v>
      </c>
    </row>
    <row r="62" ht="14.25" customHeight="1">
      <c r="A62" s="131">
        <v>58.0</v>
      </c>
      <c r="B62" s="132">
        <v>47693.0</v>
      </c>
      <c r="C62" s="146"/>
      <c r="D62" s="135">
        <f t="shared" si="1"/>
        <v>137</v>
      </c>
      <c r="E62" s="135">
        <f t="shared" si="2"/>
        <v>507.4</v>
      </c>
      <c r="F62" s="133">
        <f t="shared" si="3"/>
        <v>644.4</v>
      </c>
      <c r="G62" s="135">
        <f t="shared" si="4"/>
        <v>13194.7</v>
      </c>
    </row>
    <row r="63" ht="14.25" customHeight="1">
      <c r="A63" s="131">
        <v>59.0</v>
      </c>
      <c r="B63" s="132">
        <v>47724.0</v>
      </c>
      <c r="C63" s="146"/>
      <c r="D63" s="135">
        <f t="shared" si="1"/>
        <v>131.9</v>
      </c>
      <c r="E63" s="135">
        <f t="shared" si="2"/>
        <v>507.4</v>
      </c>
      <c r="F63" s="133">
        <f t="shared" si="3"/>
        <v>639.3</v>
      </c>
      <c r="G63" s="135">
        <f t="shared" si="4"/>
        <v>12687.3</v>
      </c>
    </row>
    <row r="64" ht="14.25" customHeight="1">
      <c r="A64" s="131">
        <v>60.0</v>
      </c>
      <c r="B64" s="132">
        <v>47755.0</v>
      </c>
      <c r="C64" s="146"/>
      <c r="D64" s="135">
        <f t="shared" si="1"/>
        <v>126.9</v>
      </c>
      <c r="E64" s="135">
        <f t="shared" si="2"/>
        <v>507.4</v>
      </c>
      <c r="F64" s="133">
        <f t="shared" si="3"/>
        <v>634.3</v>
      </c>
      <c r="G64" s="135">
        <f t="shared" si="4"/>
        <v>12179.9</v>
      </c>
    </row>
    <row r="65" ht="14.25" customHeight="1">
      <c r="A65" s="131">
        <v>61.0</v>
      </c>
      <c r="B65" s="132">
        <v>47785.0</v>
      </c>
      <c r="C65" s="146"/>
      <c r="D65" s="135">
        <f t="shared" si="1"/>
        <v>121.8</v>
      </c>
      <c r="E65" s="135">
        <f t="shared" si="2"/>
        <v>507.4</v>
      </c>
      <c r="F65" s="133">
        <f t="shared" si="3"/>
        <v>629.2</v>
      </c>
      <c r="G65" s="135">
        <f t="shared" si="4"/>
        <v>11672.5</v>
      </c>
    </row>
    <row r="66" ht="14.25" customHeight="1">
      <c r="A66" s="131">
        <v>62.0</v>
      </c>
      <c r="B66" s="132">
        <v>47816.0</v>
      </c>
      <c r="C66" s="146"/>
      <c r="D66" s="135">
        <f t="shared" si="1"/>
        <v>116.7</v>
      </c>
      <c r="E66" s="135">
        <f t="shared" si="2"/>
        <v>507.4</v>
      </c>
      <c r="F66" s="133">
        <f t="shared" si="3"/>
        <v>624.1</v>
      </c>
      <c r="G66" s="135">
        <f t="shared" si="4"/>
        <v>11165.1</v>
      </c>
    </row>
    <row r="67" ht="14.25" customHeight="1">
      <c r="A67" s="131">
        <v>63.0</v>
      </c>
      <c r="B67" s="132">
        <v>47846.0</v>
      </c>
      <c r="C67" s="146"/>
      <c r="D67" s="135">
        <f t="shared" si="1"/>
        <v>111.7</v>
      </c>
      <c r="E67" s="135">
        <f t="shared" si="2"/>
        <v>507.4</v>
      </c>
      <c r="F67" s="133">
        <f t="shared" si="3"/>
        <v>619.1</v>
      </c>
      <c r="G67" s="135">
        <f t="shared" si="4"/>
        <v>10657.7</v>
      </c>
    </row>
    <row r="68" ht="14.25" customHeight="1">
      <c r="A68" s="131">
        <v>64.0</v>
      </c>
      <c r="B68" s="132">
        <v>47877.0</v>
      </c>
      <c r="C68" s="146"/>
      <c r="D68" s="135">
        <f t="shared" si="1"/>
        <v>106.6</v>
      </c>
      <c r="E68" s="135">
        <f t="shared" si="2"/>
        <v>507.4</v>
      </c>
      <c r="F68" s="133">
        <f t="shared" si="3"/>
        <v>614</v>
      </c>
      <c r="G68" s="135">
        <f t="shared" si="4"/>
        <v>10150.3</v>
      </c>
    </row>
    <row r="69" ht="14.25" customHeight="1">
      <c r="A69" s="131">
        <v>65.0</v>
      </c>
      <c r="B69" s="132">
        <v>47907.0</v>
      </c>
      <c r="C69" s="146"/>
      <c r="D69" s="135">
        <f t="shared" si="1"/>
        <v>101.5</v>
      </c>
      <c r="E69" s="135">
        <f t="shared" si="2"/>
        <v>507.4</v>
      </c>
      <c r="F69" s="133">
        <f t="shared" si="3"/>
        <v>608.9</v>
      </c>
      <c r="G69" s="135">
        <f t="shared" si="4"/>
        <v>9642.9</v>
      </c>
    </row>
    <row r="70" ht="14.25" customHeight="1">
      <c r="A70" s="131">
        <v>66.0</v>
      </c>
      <c r="B70" s="132">
        <v>47936.0</v>
      </c>
      <c r="C70" s="146"/>
      <c r="D70" s="135">
        <f t="shared" si="1"/>
        <v>96.4</v>
      </c>
      <c r="E70" s="135">
        <f t="shared" si="2"/>
        <v>507.4</v>
      </c>
      <c r="F70" s="133">
        <f t="shared" si="3"/>
        <v>603.8</v>
      </c>
      <c r="G70" s="135">
        <f t="shared" si="4"/>
        <v>9135.5</v>
      </c>
    </row>
    <row r="71" ht="14.25" customHeight="1">
      <c r="A71" s="131">
        <v>67.0</v>
      </c>
      <c r="B71" s="132">
        <v>47967.0</v>
      </c>
      <c r="C71" s="146"/>
      <c r="D71" s="135">
        <f t="shared" si="1"/>
        <v>91.4</v>
      </c>
      <c r="E71" s="135">
        <f t="shared" si="2"/>
        <v>507.4</v>
      </c>
      <c r="F71" s="133">
        <f t="shared" si="3"/>
        <v>598.8</v>
      </c>
      <c r="G71" s="135">
        <f t="shared" si="4"/>
        <v>8628.1</v>
      </c>
    </row>
    <row r="72" ht="14.25" customHeight="1">
      <c r="A72" s="131">
        <v>68.0</v>
      </c>
      <c r="B72" s="132">
        <v>47997.0</v>
      </c>
      <c r="C72" s="146"/>
      <c r="D72" s="135">
        <f t="shared" si="1"/>
        <v>86.3</v>
      </c>
      <c r="E72" s="135">
        <f t="shared" si="2"/>
        <v>507.4</v>
      </c>
      <c r="F72" s="133">
        <f t="shared" si="3"/>
        <v>593.7</v>
      </c>
      <c r="G72" s="135">
        <f t="shared" si="4"/>
        <v>8120.7</v>
      </c>
    </row>
    <row r="73" ht="14.25" customHeight="1">
      <c r="A73" s="131">
        <v>69.0</v>
      </c>
      <c r="B73" s="132">
        <v>48028.0</v>
      </c>
      <c r="C73" s="146"/>
      <c r="D73" s="135">
        <f t="shared" si="1"/>
        <v>81.2</v>
      </c>
      <c r="E73" s="135">
        <f t="shared" si="2"/>
        <v>507.4</v>
      </c>
      <c r="F73" s="133">
        <f t="shared" si="3"/>
        <v>588.6</v>
      </c>
      <c r="G73" s="135">
        <f t="shared" si="4"/>
        <v>7613.3</v>
      </c>
    </row>
    <row r="74" ht="14.25" customHeight="1">
      <c r="A74" s="131">
        <v>70.0</v>
      </c>
      <c r="B74" s="132">
        <v>48058.0</v>
      </c>
      <c r="C74" s="146"/>
      <c r="D74" s="135">
        <f t="shared" si="1"/>
        <v>76.1</v>
      </c>
      <c r="E74" s="135">
        <f t="shared" si="2"/>
        <v>507.4</v>
      </c>
      <c r="F74" s="133">
        <f t="shared" si="3"/>
        <v>583.5</v>
      </c>
      <c r="G74" s="135">
        <f t="shared" si="4"/>
        <v>7105.9</v>
      </c>
    </row>
    <row r="75" ht="14.25" customHeight="1">
      <c r="A75" s="131">
        <v>71.0</v>
      </c>
      <c r="B75" s="132">
        <v>48089.0</v>
      </c>
      <c r="C75" s="146"/>
      <c r="D75" s="135">
        <f t="shared" si="1"/>
        <v>71.1</v>
      </c>
      <c r="E75" s="135">
        <f t="shared" si="2"/>
        <v>507.4</v>
      </c>
      <c r="F75" s="133">
        <f t="shared" si="3"/>
        <v>578.5</v>
      </c>
      <c r="G75" s="135">
        <f t="shared" si="4"/>
        <v>6598.5</v>
      </c>
    </row>
    <row r="76" ht="14.25" customHeight="1">
      <c r="A76" s="131">
        <v>72.0</v>
      </c>
      <c r="B76" s="132">
        <v>48120.0</v>
      </c>
      <c r="C76" s="146"/>
      <c r="D76" s="135">
        <f t="shared" si="1"/>
        <v>66</v>
      </c>
      <c r="E76" s="135">
        <f t="shared" si="2"/>
        <v>507.4</v>
      </c>
      <c r="F76" s="133">
        <f t="shared" si="3"/>
        <v>573.4</v>
      </c>
      <c r="G76" s="135">
        <f t="shared" si="4"/>
        <v>6091.1</v>
      </c>
    </row>
    <row r="77" ht="14.25" customHeight="1">
      <c r="A77" s="131">
        <v>73.0</v>
      </c>
      <c r="B77" s="132">
        <v>48150.0</v>
      </c>
      <c r="C77" s="146"/>
      <c r="D77" s="135">
        <f t="shared" si="1"/>
        <v>60.9</v>
      </c>
      <c r="E77" s="135">
        <f t="shared" si="2"/>
        <v>507.4</v>
      </c>
      <c r="F77" s="133">
        <f t="shared" si="3"/>
        <v>568.3</v>
      </c>
      <c r="G77" s="135">
        <f t="shared" si="4"/>
        <v>5583.7</v>
      </c>
    </row>
    <row r="78" ht="14.25" customHeight="1">
      <c r="A78" s="131">
        <v>74.0</v>
      </c>
      <c r="B78" s="132">
        <v>48181.0</v>
      </c>
      <c r="C78" s="146"/>
      <c r="D78" s="135">
        <f t="shared" si="1"/>
        <v>55.8</v>
      </c>
      <c r="E78" s="135">
        <f t="shared" si="2"/>
        <v>507.4</v>
      </c>
      <c r="F78" s="133">
        <f t="shared" si="3"/>
        <v>563.2</v>
      </c>
      <c r="G78" s="135">
        <f t="shared" si="4"/>
        <v>5076.3</v>
      </c>
    </row>
    <row r="79" ht="14.25" customHeight="1">
      <c r="A79" s="131">
        <v>75.0</v>
      </c>
      <c r="B79" s="132">
        <v>48211.0</v>
      </c>
      <c r="C79" s="146"/>
      <c r="D79" s="135">
        <f t="shared" si="1"/>
        <v>50.8</v>
      </c>
      <c r="E79" s="135">
        <f t="shared" si="2"/>
        <v>507.4</v>
      </c>
      <c r="F79" s="133">
        <f t="shared" si="3"/>
        <v>558.2</v>
      </c>
      <c r="G79" s="135">
        <f t="shared" si="4"/>
        <v>4568.9</v>
      </c>
    </row>
    <row r="80" ht="14.25" customHeight="1">
      <c r="A80" s="131">
        <v>76.0</v>
      </c>
      <c r="B80" s="132">
        <v>48242.0</v>
      </c>
      <c r="C80" s="146"/>
      <c r="D80" s="135">
        <f t="shared" si="1"/>
        <v>45.7</v>
      </c>
      <c r="E80" s="135">
        <f t="shared" si="2"/>
        <v>507.4</v>
      </c>
      <c r="F80" s="133">
        <f t="shared" si="3"/>
        <v>553.1</v>
      </c>
      <c r="G80" s="135">
        <f t="shared" si="4"/>
        <v>4061.5</v>
      </c>
    </row>
    <row r="81" ht="14.25" customHeight="1">
      <c r="A81" s="131">
        <v>77.0</v>
      </c>
      <c r="B81" s="132">
        <v>48273.0</v>
      </c>
      <c r="C81" s="146"/>
      <c r="D81" s="135">
        <f t="shared" si="1"/>
        <v>40.6</v>
      </c>
      <c r="E81" s="135">
        <f t="shared" si="2"/>
        <v>507.4</v>
      </c>
      <c r="F81" s="133">
        <f t="shared" si="3"/>
        <v>548</v>
      </c>
      <c r="G81" s="135">
        <f t="shared" si="4"/>
        <v>3554.1</v>
      </c>
    </row>
    <row r="82" ht="14.25" customHeight="1">
      <c r="A82" s="131">
        <v>78.0</v>
      </c>
      <c r="B82" s="132">
        <v>48302.0</v>
      </c>
      <c r="C82" s="146"/>
      <c r="D82" s="135">
        <f t="shared" si="1"/>
        <v>35.5</v>
      </c>
      <c r="E82" s="135">
        <f t="shared" si="2"/>
        <v>507.4</v>
      </c>
      <c r="F82" s="133">
        <f t="shared" si="3"/>
        <v>542.9</v>
      </c>
      <c r="G82" s="135">
        <f t="shared" si="4"/>
        <v>3046.7</v>
      </c>
    </row>
    <row r="83" ht="14.25" customHeight="1">
      <c r="A83" s="131">
        <v>79.0</v>
      </c>
      <c r="B83" s="132">
        <v>48333.0</v>
      </c>
      <c r="C83" s="146"/>
      <c r="D83" s="135">
        <f t="shared" si="1"/>
        <v>30.5</v>
      </c>
      <c r="E83" s="135">
        <f t="shared" si="2"/>
        <v>507.4</v>
      </c>
      <c r="F83" s="133">
        <f t="shared" si="3"/>
        <v>537.9</v>
      </c>
      <c r="G83" s="135">
        <f t="shared" si="4"/>
        <v>2539.3</v>
      </c>
    </row>
    <row r="84" ht="14.25" customHeight="1">
      <c r="A84" s="131">
        <v>80.0</v>
      </c>
      <c r="B84" s="132">
        <v>48363.0</v>
      </c>
      <c r="C84" s="146"/>
      <c r="D84" s="135">
        <f t="shared" si="1"/>
        <v>25.4</v>
      </c>
      <c r="E84" s="135">
        <f t="shared" si="2"/>
        <v>507.4</v>
      </c>
      <c r="F84" s="133">
        <f t="shared" si="3"/>
        <v>532.8</v>
      </c>
      <c r="G84" s="135">
        <f t="shared" si="4"/>
        <v>2031.9</v>
      </c>
    </row>
    <row r="85" ht="14.25" customHeight="1">
      <c r="A85" s="131">
        <v>81.0</v>
      </c>
      <c r="B85" s="132">
        <v>48394.0</v>
      </c>
      <c r="C85" s="146"/>
      <c r="D85" s="135">
        <f t="shared" si="1"/>
        <v>20.3</v>
      </c>
      <c r="E85" s="135">
        <f t="shared" si="2"/>
        <v>507.4</v>
      </c>
      <c r="F85" s="133">
        <f t="shared" si="3"/>
        <v>527.7</v>
      </c>
      <c r="G85" s="135">
        <f t="shared" si="4"/>
        <v>1524.5</v>
      </c>
    </row>
    <row r="86" ht="14.25" customHeight="1">
      <c r="A86" s="131">
        <v>82.0</v>
      </c>
      <c r="B86" s="132">
        <v>48424.0</v>
      </c>
      <c r="C86" s="146"/>
      <c r="D86" s="135">
        <f t="shared" si="1"/>
        <v>15.2</v>
      </c>
      <c r="E86" s="135">
        <f t="shared" si="2"/>
        <v>507.4</v>
      </c>
      <c r="F86" s="133">
        <f t="shared" si="3"/>
        <v>522.6</v>
      </c>
      <c r="G86" s="135">
        <f t="shared" si="4"/>
        <v>1017.1</v>
      </c>
    </row>
    <row r="87" ht="14.25" customHeight="1">
      <c r="A87" s="131">
        <v>83.0</v>
      </c>
      <c r="B87" s="132">
        <v>48455.0</v>
      </c>
      <c r="C87" s="146"/>
      <c r="D87" s="135">
        <f t="shared" si="1"/>
        <v>10.2</v>
      </c>
      <c r="E87" s="135">
        <f t="shared" si="2"/>
        <v>507.4</v>
      </c>
      <c r="F87" s="133">
        <f t="shared" si="3"/>
        <v>517.6</v>
      </c>
      <c r="G87" s="135">
        <f t="shared" si="4"/>
        <v>509.7</v>
      </c>
    </row>
    <row r="88" ht="14.25" customHeight="1">
      <c r="A88" s="131">
        <v>84.0</v>
      </c>
      <c r="B88" s="132">
        <v>48486.0</v>
      </c>
      <c r="C88" s="146"/>
      <c r="D88" s="135">
        <f t="shared" si="1"/>
        <v>5.1</v>
      </c>
      <c r="E88" s="135">
        <f>ROUNDDOWN($C$4/84,1)+2.3</f>
        <v>509.7</v>
      </c>
      <c r="F88" s="133">
        <f t="shared" si="3"/>
        <v>514.8</v>
      </c>
      <c r="G88" s="135">
        <f t="shared" si="4"/>
        <v>0</v>
      </c>
    </row>
    <row r="89" ht="14.25" customHeight="1">
      <c r="A89" s="129" t="s">
        <v>252</v>
      </c>
      <c r="B89" s="2"/>
      <c r="C89" s="3"/>
      <c r="D89" s="147">
        <f t="shared" ref="D89:F89" si="5">+SUM(D5:D88)</f>
        <v>18116.1</v>
      </c>
      <c r="E89" s="147">
        <f t="shared" si="5"/>
        <v>42623.9</v>
      </c>
      <c r="F89" s="147">
        <f t="shared" si="5"/>
        <v>60740</v>
      </c>
      <c r="G89" s="148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379</v>
      </c>
      <c r="B1" s="2"/>
      <c r="C1" s="2"/>
      <c r="D1" s="2"/>
      <c r="E1" s="2"/>
      <c r="F1" s="2"/>
      <c r="G1" s="3"/>
    </row>
    <row r="2" ht="14.25" customHeight="1">
      <c r="A2" s="129" t="s">
        <v>335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45806.0</v>
      </c>
      <c r="C4" s="133">
        <f>+J7</f>
        <v>34227.1</v>
      </c>
      <c r="D4" s="134">
        <v>0.01</v>
      </c>
      <c r="E4" s="135"/>
      <c r="F4" s="135"/>
      <c r="G4" s="135">
        <f>+C4</f>
        <v>34227.1</v>
      </c>
    </row>
    <row r="5" ht="14.25" customHeight="1">
      <c r="A5" s="136">
        <v>1.0</v>
      </c>
      <c r="B5" s="137">
        <v>45837.0</v>
      </c>
      <c r="C5" s="138"/>
      <c r="D5" s="138">
        <f t="shared" ref="D5:D88" si="1">+ROUND(G4*0.01,1)</f>
        <v>342.3</v>
      </c>
      <c r="E5" s="138">
        <f t="shared" ref="E5:E87" si="2">ROUNDUP($C$4/84,1)</f>
        <v>407.5</v>
      </c>
      <c r="F5" s="139">
        <f t="shared" ref="F5:F88" si="3">+ROUND(D5+E5,1)</f>
        <v>749.8</v>
      </c>
      <c r="G5" s="138">
        <f t="shared" ref="G5:G88" si="4">+ROUND(G4-E5,1)</f>
        <v>33819.6</v>
      </c>
      <c r="I5" s="140" t="s">
        <v>209</v>
      </c>
      <c r="J5" s="141">
        <v>11556.00000000001</v>
      </c>
    </row>
    <row r="6" ht="14.25" customHeight="1">
      <c r="A6" s="136">
        <v>2.0</v>
      </c>
      <c r="B6" s="137">
        <v>45867.0</v>
      </c>
      <c r="C6" s="144"/>
      <c r="D6" s="138">
        <f t="shared" si="1"/>
        <v>338.2</v>
      </c>
      <c r="E6" s="138">
        <f t="shared" si="2"/>
        <v>407.5</v>
      </c>
      <c r="F6" s="139">
        <f t="shared" si="3"/>
        <v>745.7</v>
      </c>
      <c r="G6" s="138">
        <f t="shared" si="4"/>
        <v>33412.1</v>
      </c>
      <c r="I6" s="140" t="s">
        <v>331</v>
      </c>
      <c r="J6" s="141">
        <v>22671.1</v>
      </c>
    </row>
    <row r="7" ht="14.25" customHeight="1">
      <c r="A7" s="136">
        <v>3.0</v>
      </c>
      <c r="B7" s="137">
        <v>45898.0</v>
      </c>
      <c r="C7" s="144"/>
      <c r="D7" s="138">
        <f t="shared" si="1"/>
        <v>334.1</v>
      </c>
      <c r="E7" s="138">
        <f t="shared" si="2"/>
        <v>407.5</v>
      </c>
      <c r="F7" s="139">
        <f t="shared" si="3"/>
        <v>741.6</v>
      </c>
      <c r="G7" s="138">
        <f t="shared" si="4"/>
        <v>33004.6</v>
      </c>
      <c r="I7" s="142" t="s">
        <v>252</v>
      </c>
      <c r="J7" s="143">
        <f>+SUM(J5:J6)</f>
        <v>34227.1</v>
      </c>
    </row>
    <row r="8" ht="14.25" customHeight="1">
      <c r="A8" s="136">
        <v>4.0</v>
      </c>
      <c r="B8" s="137">
        <v>45929.0</v>
      </c>
      <c r="C8" s="144"/>
      <c r="D8" s="138">
        <f t="shared" si="1"/>
        <v>330</v>
      </c>
      <c r="E8" s="138">
        <f t="shared" si="2"/>
        <v>407.5</v>
      </c>
      <c r="F8" s="139">
        <f t="shared" si="3"/>
        <v>737.5</v>
      </c>
      <c r="G8" s="138">
        <f t="shared" si="4"/>
        <v>32597.1</v>
      </c>
    </row>
    <row r="9" ht="14.25" customHeight="1">
      <c r="A9" s="136">
        <v>5.0</v>
      </c>
      <c r="B9" s="137">
        <v>45959.0</v>
      </c>
      <c r="C9" s="145"/>
      <c r="D9" s="138">
        <f t="shared" si="1"/>
        <v>326</v>
      </c>
      <c r="E9" s="138">
        <f t="shared" si="2"/>
        <v>407.5</v>
      </c>
      <c r="F9" s="139">
        <f t="shared" si="3"/>
        <v>733.5</v>
      </c>
      <c r="G9" s="138">
        <f t="shared" si="4"/>
        <v>32189.6</v>
      </c>
    </row>
    <row r="10" ht="14.25" customHeight="1">
      <c r="A10" s="136">
        <v>6.0</v>
      </c>
      <c r="B10" s="137">
        <v>45990.0</v>
      </c>
      <c r="C10" s="145"/>
      <c r="D10" s="138">
        <f t="shared" si="1"/>
        <v>321.9</v>
      </c>
      <c r="E10" s="138">
        <f t="shared" si="2"/>
        <v>407.5</v>
      </c>
      <c r="F10" s="139">
        <f t="shared" si="3"/>
        <v>729.4</v>
      </c>
      <c r="G10" s="138">
        <f t="shared" si="4"/>
        <v>31782.1</v>
      </c>
    </row>
    <row r="11" ht="14.25" customHeight="1">
      <c r="A11" s="136">
        <v>7.0</v>
      </c>
      <c r="B11" s="137">
        <v>46020.0</v>
      </c>
      <c r="C11" s="145"/>
      <c r="D11" s="138">
        <f t="shared" si="1"/>
        <v>317.8</v>
      </c>
      <c r="E11" s="138">
        <f t="shared" si="2"/>
        <v>407.5</v>
      </c>
      <c r="F11" s="139">
        <f t="shared" si="3"/>
        <v>725.3</v>
      </c>
      <c r="G11" s="138">
        <f t="shared" si="4"/>
        <v>31374.6</v>
      </c>
    </row>
    <row r="12" ht="14.25" customHeight="1">
      <c r="A12" s="131">
        <v>8.0</v>
      </c>
      <c r="B12" s="132">
        <v>46051.0</v>
      </c>
      <c r="C12" s="146"/>
      <c r="D12" s="135">
        <f t="shared" si="1"/>
        <v>313.7</v>
      </c>
      <c r="E12" s="135">
        <f t="shared" si="2"/>
        <v>407.5</v>
      </c>
      <c r="F12" s="133">
        <f t="shared" si="3"/>
        <v>721.2</v>
      </c>
      <c r="G12" s="135">
        <f t="shared" si="4"/>
        <v>30967.1</v>
      </c>
    </row>
    <row r="13" ht="14.25" customHeight="1">
      <c r="A13" s="131">
        <v>9.0</v>
      </c>
      <c r="B13" s="132">
        <v>46081.0</v>
      </c>
      <c r="C13" s="146"/>
      <c r="D13" s="135">
        <f t="shared" si="1"/>
        <v>309.7</v>
      </c>
      <c r="E13" s="135">
        <f t="shared" si="2"/>
        <v>407.5</v>
      </c>
      <c r="F13" s="133">
        <f t="shared" si="3"/>
        <v>717.2</v>
      </c>
      <c r="G13" s="135">
        <f t="shared" si="4"/>
        <v>30559.6</v>
      </c>
    </row>
    <row r="14" ht="14.25" customHeight="1">
      <c r="A14" s="131">
        <v>10.0</v>
      </c>
      <c r="B14" s="132">
        <v>46110.0</v>
      </c>
      <c r="C14" s="146"/>
      <c r="D14" s="135">
        <f t="shared" si="1"/>
        <v>305.6</v>
      </c>
      <c r="E14" s="135">
        <f t="shared" si="2"/>
        <v>407.5</v>
      </c>
      <c r="F14" s="133">
        <f t="shared" si="3"/>
        <v>713.1</v>
      </c>
      <c r="G14" s="135">
        <f t="shared" si="4"/>
        <v>30152.1</v>
      </c>
    </row>
    <row r="15" ht="14.25" customHeight="1">
      <c r="A15" s="131">
        <v>11.0</v>
      </c>
      <c r="B15" s="132">
        <v>46141.0</v>
      </c>
      <c r="C15" s="146"/>
      <c r="D15" s="135">
        <f t="shared" si="1"/>
        <v>301.5</v>
      </c>
      <c r="E15" s="135">
        <f t="shared" si="2"/>
        <v>407.5</v>
      </c>
      <c r="F15" s="133">
        <f t="shared" si="3"/>
        <v>709</v>
      </c>
      <c r="G15" s="135">
        <f t="shared" si="4"/>
        <v>29744.6</v>
      </c>
    </row>
    <row r="16" ht="14.25" customHeight="1">
      <c r="A16" s="131">
        <v>12.0</v>
      </c>
      <c r="B16" s="132">
        <v>46171.0</v>
      </c>
      <c r="C16" s="146"/>
      <c r="D16" s="135">
        <f t="shared" si="1"/>
        <v>297.4</v>
      </c>
      <c r="E16" s="135">
        <f t="shared" si="2"/>
        <v>407.5</v>
      </c>
      <c r="F16" s="133">
        <f t="shared" si="3"/>
        <v>704.9</v>
      </c>
      <c r="G16" s="135">
        <f t="shared" si="4"/>
        <v>29337.1</v>
      </c>
    </row>
    <row r="17" ht="14.25" customHeight="1">
      <c r="A17" s="131">
        <v>13.0</v>
      </c>
      <c r="B17" s="132">
        <v>46202.0</v>
      </c>
      <c r="C17" s="146"/>
      <c r="D17" s="135">
        <f t="shared" si="1"/>
        <v>293.4</v>
      </c>
      <c r="E17" s="135">
        <f t="shared" si="2"/>
        <v>407.5</v>
      </c>
      <c r="F17" s="133">
        <f t="shared" si="3"/>
        <v>700.9</v>
      </c>
      <c r="G17" s="135">
        <f t="shared" si="4"/>
        <v>28929.6</v>
      </c>
    </row>
    <row r="18" ht="14.25" customHeight="1">
      <c r="A18" s="131">
        <v>14.0</v>
      </c>
      <c r="B18" s="132">
        <v>46232.0</v>
      </c>
      <c r="C18" s="146"/>
      <c r="D18" s="135">
        <f t="shared" si="1"/>
        <v>289.3</v>
      </c>
      <c r="E18" s="135">
        <f t="shared" si="2"/>
        <v>407.5</v>
      </c>
      <c r="F18" s="133">
        <f t="shared" si="3"/>
        <v>696.8</v>
      </c>
      <c r="G18" s="135">
        <f t="shared" si="4"/>
        <v>28522.1</v>
      </c>
    </row>
    <row r="19" ht="14.25" customHeight="1">
      <c r="A19" s="131">
        <v>15.0</v>
      </c>
      <c r="B19" s="132">
        <v>46263.0</v>
      </c>
      <c r="C19" s="146"/>
      <c r="D19" s="135">
        <f t="shared" si="1"/>
        <v>285.2</v>
      </c>
      <c r="E19" s="135">
        <f t="shared" si="2"/>
        <v>407.5</v>
      </c>
      <c r="F19" s="133">
        <f t="shared" si="3"/>
        <v>692.7</v>
      </c>
      <c r="G19" s="135">
        <f t="shared" si="4"/>
        <v>28114.6</v>
      </c>
    </row>
    <row r="20" ht="14.25" customHeight="1">
      <c r="A20" s="131">
        <v>16.0</v>
      </c>
      <c r="B20" s="132">
        <v>46294.0</v>
      </c>
      <c r="C20" s="146"/>
      <c r="D20" s="135">
        <f t="shared" si="1"/>
        <v>281.1</v>
      </c>
      <c r="E20" s="135">
        <f t="shared" si="2"/>
        <v>407.5</v>
      </c>
      <c r="F20" s="133">
        <f t="shared" si="3"/>
        <v>688.6</v>
      </c>
      <c r="G20" s="135">
        <f t="shared" si="4"/>
        <v>27707.1</v>
      </c>
    </row>
    <row r="21" ht="14.25" customHeight="1">
      <c r="A21" s="131">
        <v>17.0</v>
      </c>
      <c r="B21" s="132">
        <v>46324.0</v>
      </c>
      <c r="C21" s="146"/>
      <c r="D21" s="135">
        <f t="shared" si="1"/>
        <v>277.1</v>
      </c>
      <c r="E21" s="135">
        <f t="shared" si="2"/>
        <v>407.5</v>
      </c>
      <c r="F21" s="133">
        <f t="shared" si="3"/>
        <v>684.6</v>
      </c>
      <c r="G21" s="135">
        <f t="shared" si="4"/>
        <v>27299.6</v>
      </c>
    </row>
    <row r="22" ht="14.25" customHeight="1">
      <c r="A22" s="131">
        <v>18.0</v>
      </c>
      <c r="B22" s="132">
        <v>46355.0</v>
      </c>
      <c r="C22" s="146"/>
      <c r="D22" s="135">
        <f t="shared" si="1"/>
        <v>273</v>
      </c>
      <c r="E22" s="135">
        <f t="shared" si="2"/>
        <v>407.5</v>
      </c>
      <c r="F22" s="133">
        <f t="shared" si="3"/>
        <v>680.5</v>
      </c>
      <c r="G22" s="135">
        <f t="shared" si="4"/>
        <v>26892.1</v>
      </c>
    </row>
    <row r="23" ht="14.25" customHeight="1">
      <c r="A23" s="131">
        <v>19.0</v>
      </c>
      <c r="B23" s="132">
        <v>46385.0</v>
      </c>
      <c r="C23" s="146"/>
      <c r="D23" s="135">
        <f t="shared" si="1"/>
        <v>268.9</v>
      </c>
      <c r="E23" s="135">
        <f t="shared" si="2"/>
        <v>407.5</v>
      </c>
      <c r="F23" s="133">
        <f t="shared" si="3"/>
        <v>676.4</v>
      </c>
      <c r="G23" s="135">
        <f t="shared" si="4"/>
        <v>26484.6</v>
      </c>
    </row>
    <row r="24" ht="14.25" customHeight="1">
      <c r="A24" s="131">
        <v>20.0</v>
      </c>
      <c r="B24" s="132">
        <v>46416.0</v>
      </c>
      <c r="C24" s="146"/>
      <c r="D24" s="135">
        <f t="shared" si="1"/>
        <v>264.8</v>
      </c>
      <c r="E24" s="135">
        <f t="shared" si="2"/>
        <v>407.5</v>
      </c>
      <c r="F24" s="133">
        <f t="shared" si="3"/>
        <v>672.3</v>
      </c>
      <c r="G24" s="135">
        <f t="shared" si="4"/>
        <v>26077.1</v>
      </c>
    </row>
    <row r="25" ht="14.25" customHeight="1">
      <c r="A25" s="131">
        <v>21.0</v>
      </c>
      <c r="B25" s="132">
        <v>46446.0</v>
      </c>
      <c r="C25" s="146"/>
      <c r="D25" s="135">
        <f t="shared" si="1"/>
        <v>260.8</v>
      </c>
      <c r="E25" s="135">
        <f t="shared" si="2"/>
        <v>407.5</v>
      </c>
      <c r="F25" s="133">
        <f t="shared" si="3"/>
        <v>668.3</v>
      </c>
      <c r="G25" s="135">
        <f t="shared" si="4"/>
        <v>25669.6</v>
      </c>
    </row>
    <row r="26" ht="14.25" customHeight="1">
      <c r="A26" s="131">
        <v>22.0</v>
      </c>
      <c r="B26" s="132">
        <v>46475.0</v>
      </c>
      <c r="C26" s="146"/>
      <c r="D26" s="135">
        <f t="shared" si="1"/>
        <v>256.7</v>
      </c>
      <c r="E26" s="135">
        <f t="shared" si="2"/>
        <v>407.5</v>
      </c>
      <c r="F26" s="133">
        <f t="shared" si="3"/>
        <v>664.2</v>
      </c>
      <c r="G26" s="135">
        <f t="shared" si="4"/>
        <v>25262.1</v>
      </c>
    </row>
    <row r="27" ht="14.25" customHeight="1">
      <c r="A27" s="131">
        <v>23.0</v>
      </c>
      <c r="B27" s="132">
        <v>46506.0</v>
      </c>
      <c r="C27" s="146"/>
      <c r="D27" s="135">
        <f t="shared" si="1"/>
        <v>252.6</v>
      </c>
      <c r="E27" s="135">
        <f t="shared" si="2"/>
        <v>407.5</v>
      </c>
      <c r="F27" s="133">
        <f t="shared" si="3"/>
        <v>660.1</v>
      </c>
      <c r="G27" s="135">
        <f t="shared" si="4"/>
        <v>24854.6</v>
      </c>
    </row>
    <row r="28" ht="14.25" customHeight="1">
      <c r="A28" s="131">
        <v>24.0</v>
      </c>
      <c r="B28" s="132">
        <v>46536.0</v>
      </c>
      <c r="C28" s="146"/>
      <c r="D28" s="135">
        <f t="shared" si="1"/>
        <v>248.5</v>
      </c>
      <c r="E28" s="135">
        <f t="shared" si="2"/>
        <v>407.5</v>
      </c>
      <c r="F28" s="133">
        <f t="shared" si="3"/>
        <v>656</v>
      </c>
      <c r="G28" s="135">
        <f t="shared" si="4"/>
        <v>24447.1</v>
      </c>
    </row>
    <row r="29" ht="14.25" customHeight="1">
      <c r="A29" s="131">
        <v>25.0</v>
      </c>
      <c r="B29" s="132">
        <v>46567.0</v>
      </c>
      <c r="C29" s="146"/>
      <c r="D29" s="135">
        <f t="shared" si="1"/>
        <v>244.5</v>
      </c>
      <c r="E29" s="135">
        <f t="shared" si="2"/>
        <v>407.5</v>
      </c>
      <c r="F29" s="133">
        <f t="shared" si="3"/>
        <v>652</v>
      </c>
      <c r="G29" s="135">
        <f t="shared" si="4"/>
        <v>24039.6</v>
      </c>
    </row>
    <row r="30" ht="14.25" customHeight="1">
      <c r="A30" s="131">
        <v>26.0</v>
      </c>
      <c r="B30" s="132">
        <v>46597.0</v>
      </c>
      <c r="C30" s="146"/>
      <c r="D30" s="135">
        <f t="shared" si="1"/>
        <v>240.4</v>
      </c>
      <c r="E30" s="135">
        <f t="shared" si="2"/>
        <v>407.5</v>
      </c>
      <c r="F30" s="133">
        <f t="shared" si="3"/>
        <v>647.9</v>
      </c>
      <c r="G30" s="135">
        <f t="shared" si="4"/>
        <v>23632.1</v>
      </c>
    </row>
    <row r="31" ht="14.25" customHeight="1">
      <c r="A31" s="131">
        <v>27.0</v>
      </c>
      <c r="B31" s="132">
        <v>46628.0</v>
      </c>
      <c r="C31" s="146"/>
      <c r="D31" s="135">
        <f t="shared" si="1"/>
        <v>236.3</v>
      </c>
      <c r="E31" s="135">
        <f t="shared" si="2"/>
        <v>407.5</v>
      </c>
      <c r="F31" s="133">
        <f t="shared" si="3"/>
        <v>643.8</v>
      </c>
      <c r="G31" s="135">
        <f t="shared" si="4"/>
        <v>23224.6</v>
      </c>
    </row>
    <row r="32" ht="14.25" customHeight="1">
      <c r="A32" s="131">
        <v>28.0</v>
      </c>
      <c r="B32" s="132">
        <v>46659.0</v>
      </c>
      <c r="C32" s="146"/>
      <c r="D32" s="135">
        <f t="shared" si="1"/>
        <v>232.2</v>
      </c>
      <c r="E32" s="135">
        <f t="shared" si="2"/>
        <v>407.5</v>
      </c>
      <c r="F32" s="133">
        <f t="shared" si="3"/>
        <v>639.7</v>
      </c>
      <c r="G32" s="135">
        <f t="shared" si="4"/>
        <v>22817.1</v>
      </c>
    </row>
    <row r="33" ht="14.25" customHeight="1">
      <c r="A33" s="131">
        <v>29.0</v>
      </c>
      <c r="B33" s="132">
        <v>46689.0</v>
      </c>
      <c r="C33" s="146"/>
      <c r="D33" s="135">
        <f t="shared" si="1"/>
        <v>228.2</v>
      </c>
      <c r="E33" s="135">
        <f t="shared" si="2"/>
        <v>407.5</v>
      </c>
      <c r="F33" s="133">
        <f t="shared" si="3"/>
        <v>635.7</v>
      </c>
      <c r="G33" s="135">
        <f t="shared" si="4"/>
        <v>22409.6</v>
      </c>
    </row>
    <row r="34" ht="14.25" customHeight="1">
      <c r="A34" s="131">
        <v>30.0</v>
      </c>
      <c r="B34" s="132">
        <v>46720.0</v>
      </c>
      <c r="C34" s="146"/>
      <c r="D34" s="135">
        <f t="shared" si="1"/>
        <v>224.1</v>
      </c>
      <c r="E34" s="135">
        <f t="shared" si="2"/>
        <v>407.5</v>
      </c>
      <c r="F34" s="133">
        <f t="shared" si="3"/>
        <v>631.6</v>
      </c>
      <c r="G34" s="135">
        <f t="shared" si="4"/>
        <v>22002.1</v>
      </c>
    </row>
    <row r="35" ht="14.25" customHeight="1">
      <c r="A35" s="131">
        <v>31.0</v>
      </c>
      <c r="B35" s="132">
        <v>46750.0</v>
      </c>
      <c r="C35" s="146"/>
      <c r="D35" s="135">
        <f t="shared" si="1"/>
        <v>220</v>
      </c>
      <c r="E35" s="135">
        <f t="shared" si="2"/>
        <v>407.5</v>
      </c>
      <c r="F35" s="133">
        <f t="shared" si="3"/>
        <v>627.5</v>
      </c>
      <c r="G35" s="135">
        <f t="shared" si="4"/>
        <v>21594.6</v>
      </c>
    </row>
    <row r="36" ht="14.25" customHeight="1">
      <c r="A36" s="131">
        <v>32.0</v>
      </c>
      <c r="B36" s="132">
        <v>46781.0</v>
      </c>
      <c r="C36" s="146"/>
      <c r="D36" s="135">
        <f t="shared" si="1"/>
        <v>215.9</v>
      </c>
      <c r="E36" s="135">
        <f t="shared" si="2"/>
        <v>407.5</v>
      </c>
      <c r="F36" s="133">
        <f t="shared" si="3"/>
        <v>623.4</v>
      </c>
      <c r="G36" s="135">
        <f t="shared" si="4"/>
        <v>21187.1</v>
      </c>
    </row>
    <row r="37" ht="14.25" customHeight="1">
      <c r="A37" s="131">
        <v>33.0</v>
      </c>
      <c r="B37" s="132">
        <v>46812.0</v>
      </c>
      <c r="C37" s="146"/>
      <c r="D37" s="135">
        <f t="shared" si="1"/>
        <v>211.9</v>
      </c>
      <c r="E37" s="135">
        <f t="shared" si="2"/>
        <v>407.5</v>
      </c>
      <c r="F37" s="133">
        <f t="shared" si="3"/>
        <v>619.4</v>
      </c>
      <c r="G37" s="135">
        <f t="shared" si="4"/>
        <v>20779.6</v>
      </c>
    </row>
    <row r="38" ht="14.25" customHeight="1">
      <c r="A38" s="131">
        <v>34.0</v>
      </c>
      <c r="B38" s="132">
        <v>46841.0</v>
      </c>
      <c r="C38" s="146"/>
      <c r="D38" s="135">
        <f t="shared" si="1"/>
        <v>207.8</v>
      </c>
      <c r="E38" s="135">
        <f t="shared" si="2"/>
        <v>407.5</v>
      </c>
      <c r="F38" s="133">
        <f t="shared" si="3"/>
        <v>615.3</v>
      </c>
      <c r="G38" s="135">
        <f t="shared" si="4"/>
        <v>20372.1</v>
      </c>
    </row>
    <row r="39" ht="14.25" customHeight="1">
      <c r="A39" s="131">
        <v>35.0</v>
      </c>
      <c r="B39" s="132">
        <v>46872.0</v>
      </c>
      <c r="C39" s="146"/>
      <c r="D39" s="135">
        <f t="shared" si="1"/>
        <v>203.7</v>
      </c>
      <c r="E39" s="135">
        <f t="shared" si="2"/>
        <v>407.5</v>
      </c>
      <c r="F39" s="133">
        <f t="shared" si="3"/>
        <v>611.2</v>
      </c>
      <c r="G39" s="135">
        <f t="shared" si="4"/>
        <v>19964.6</v>
      </c>
    </row>
    <row r="40" ht="14.25" customHeight="1">
      <c r="A40" s="131">
        <v>36.0</v>
      </c>
      <c r="B40" s="132">
        <v>46902.0</v>
      </c>
      <c r="C40" s="146"/>
      <c r="D40" s="135">
        <f t="shared" si="1"/>
        <v>199.6</v>
      </c>
      <c r="E40" s="135">
        <f t="shared" si="2"/>
        <v>407.5</v>
      </c>
      <c r="F40" s="133">
        <f t="shared" si="3"/>
        <v>607.1</v>
      </c>
      <c r="G40" s="135">
        <f t="shared" si="4"/>
        <v>19557.1</v>
      </c>
    </row>
    <row r="41" ht="14.25" customHeight="1">
      <c r="A41" s="131">
        <v>37.0</v>
      </c>
      <c r="B41" s="132">
        <v>46933.0</v>
      </c>
      <c r="C41" s="146"/>
      <c r="D41" s="135">
        <f t="shared" si="1"/>
        <v>195.6</v>
      </c>
      <c r="E41" s="135">
        <f t="shared" si="2"/>
        <v>407.5</v>
      </c>
      <c r="F41" s="133">
        <f t="shared" si="3"/>
        <v>603.1</v>
      </c>
      <c r="G41" s="135">
        <f t="shared" si="4"/>
        <v>19149.6</v>
      </c>
    </row>
    <row r="42" ht="14.25" customHeight="1">
      <c r="A42" s="131">
        <v>38.0</v>
      </c>
      <c r="B42" s="132">
        <v>46963.0</v>
      </c>
      <c r="C42" s="146"/>
      <c r="D42" s="135">
        <f t="shared" si="1"/>
        <v>191.5</v>
      </c>
      <c r="E42" s="135">
        <f t="shared" si="2"/>
        <v>407.5</v>
      </c>
      <c r="F42" s="133">
        <f t="shared" si="3"/>
        <v>599</v>
      </c>
      <c r="G42" s="135">
        <f t="shared" si="4"/>
        <v>18742.1</v>
      </c>
    </row>
    <row r="43" ht="14.25" customHeight="1">
      <c r="A43" s="131">
        <v>39.0</v>
      </c>
      <c r="B43" s="132">
        <v>46994.0</v>
      </c>
      <c r="C43" s="146"/>
      <c r="D43" s="135">
        <f t="shared" si="1"/>
        <v>187.4</v>
      </c>
      <c r="E43" s="135">
        <f t="shared" si="2"/>
        <v>407.5</v>
      </c>
      <c r="F43" s="133">
        <f t="shared" si="3"/>
        <v>594.9</v>
      </c>
      <c r="G43" s="135">
        <f t="shared" si="4"/>
        <v>18334.6</v>
      </c>
    </row>
    <row r="44" ht="14.25" customHeight="1">
      <c r="A44" s="131">
        <v>40.0</v>
      </c>
      <c r="B44" s="132">
        <v>47025.0</v>
      </c>
      <c r="C44" s="146"/>
      <c r="D44" s="135">
        <f t="shared" si="1"/>
        <v>183.3</v>
      </c>
      <c r="E44" s="135">
        <f t="shared" si="2"/>
        <v>407.5</v>
      </c>
      <c r="F44" s="133">
        <f t="shared" si="3"/>
        <v>590.8</v>
      </c>
      <c r="G44" s="135">
        <f t="shared" si="4"/>
        <v>17927.1</v>
      </c>
    </row>
    <row r="45" ht="14.25" customHeight="1">
      <c r="A45" s="131">
        <v>41.0</v>
      </c>
      <c r="B45" s="132">
        <v>47055.0</v>
      </c>
      <c r="C45" s="146"/>
      <c r="D45" s="135">
        <f t="shared" si="1"/>
        <v>179.3</v>
      </c>
      <c r="E45" s="135">
        <f t="shared" si="2"/>
        <v>407.5</v>
      </c>
      <c r="F45" s="133">
        <f t="shared" si="3"/>
        <v>586.8</v>
      </c>
      <c r="G45" s="135">
        <f t="shared" si="4"/>
        <v>17519.6</v>
      </c>
    </row>
    <row r="46" ht="14.25" customHeight="1">
      <c r="A46" s="131">
        <v>42.0</v>
      </c>
      <c r="B46" s="132">
        <v>47086.0</v>
      </c>
      <c r="C46" s="146"/>
      <c r="D46" s="135">
        <f t="shared" si="1"/>
        <v>175.2</v>
      </c>
      <c r="E46" s="135">
        <f t="shared" si="2"/>
        <v>407.5</v>
      </c>
      <c r="F46" s="133">
        <f t="shared" si="3"/>
        <v>582.7</v>
      </c>
      <c r="G46" s="135">
        <f t="shared" si="4"/>
        <v>17112.1</v>
      </c>
    </row>
    <row r="47" ht="14.25" customHeight="1">
      <c r="A47" s="131">
        <v>43.0</v>
      </c>
      <c r="B47" s="132">
        <v>47116.0</v>
      </c>
      <c r="C47" s="146"/>
      <c r="D47" s="135">
        <f t="shared" si="1"/>
        <v>171.1</v>
      </c>
      <c r="E47" s="135">
        <f t="shared" si="2"/>
        <v>407.5</v>
      </c>
      <c r="F47" s="133">
        <f t="shared" si="3"/>
        <v>578.6</v>
      </c>
      <c r="G47" s="135">
        <f t="shared" si="4"/>
        <v>16704.6</v>
      </c>
    </row>
    <row r="48" ht="14.25" customHeight="1">
      <c r="A48" s="131">
        <v>44.0</v>
      </c>
      <c r="B48" s="132">
        <v>47147.0</v>
      </c>
      <c r="C48" s="146"/>
      <c r="D48" s="135">
        <f t="shared" si="1"/>
        <v>167</v>
      </c>
      <c r="E48" s="135">
        <f t="shared" si="2"/>
        <v>407.5</v>
      </c>
      <c r="F48" s="133">
        <f t="shared" si="3"/>
        <v>574.5</v>
      </c>
      <c r="G48" s="135">
        <f t="shared" si="4"/>
        <v>16297.1</v>
      </c>
    </row>
    <row r="49" ht="14.25" customHeight="1">
      <c r="A49" s="131">
        <v>45.0</v>
      </c>
      <c r="B49" s="132">
        <v>47177.0</v>
      </c>
      <c r="C49" s="146"/>
      <c r="D49" s="135">
        <f t="shared" si="1"/>
        <v>163</v>
      </c>
      <c r="E49" s="135">
        <f t="shared" si="2"/>
        <v>407.5</v>
      </c>
      <c r="F49" s="133">
        <f t="shared" si="3"/>
        <v>570.5</v>
      </c>
      <c r="G49" s="135">
        <f t="shared" si="4"/>
        <v>15889.6</v>
      </c>
    </row>
    <row r="50" ht="14.25" customHeight="1">
      <c r="A50" s="131">
        <v>46.0</v>
      </c>
      <c r="B50" s="132">
        <v>47206.0</v>
      </c>
      <c r="C50" s="146"/>
      <c r="D50" s="135">
        <f t="shared" si="1"/>
        <v>158.9</v>
      </c>
      <c r="E50" s="135">
        <f t="shared" si="2"/>
        <v>407.5</v>
      </c>
      <c r="F50" s="133">
        <f t="shared" si="3"/>
        <v>566.4</v>
      </c>
      <c r="G50" s="135">
        <f t="shared" si="4"/>
        <v>15482.1</v>
      </c>
    </row>
    <row r="51" ht="14.25" customHeight="1">
      <c r="A51" s="131">
        <v>47.0</v>
      </c>
      <c r="B51" s="132">
        <v>47237.0</v>
      </c>
      <c r="C51" s="146"/>
      <c r="D51" s="135">
        <f t="shared" si="1"/>
        <v>154.8</v>
      </c>
      <c r="E51" s="135">
        <f t="shared" si="2"/>
        <v>407.5</v>
      </c>
      <c r="F51" s="133">
        <f t="shared" si="3"/>
        <v>562.3</v>
      </c>
      <c r="G51" s="135">
        <f t="shared" si="4"/>
        <v>15074.6</v>
      </c>
    </row>
    <row r="52" ht="14.25" customHeight="1">
      <c r="A52" s="131">
        <v>48.0</v>
      </c>
      <c r="B52" s="132">
        <v>47267.0</v>
      </c>
      <c r="C52" s="146"/>
      <c r="D52" s="135">
        <f t="shared" si="1"/>
        <v>150.7</v>
      </c>
      <c r="E52" s="135">
        <f t="shared" si="2"/>
        <v>407.5</v>
      </c>
      <c r="F52" s="133">
        <f t="shared" si="3"/>
        <v>558.2</v>
      </c>
      <c r="G52" s="135">
        <f t="shared" si="4"/>
        <v>14667.1</v>
      </c>
    </row>
    <row r="53" ht="14.25" customHeight="1">
      <c r="A53" s="131">
        <v>49.0</v>
      </c>
      <c r="B53" s="132">
        <v>47298.0</v>
      </c>
      <c r="C53" s="146"/>
      <c r="D53" s="135">
        <f t="shared" si="1"/>
        <v>146.7</v>
      </c>
      <c r="E53" s="135">
        <f t="shared" si="2"/>
        <v>407.5</v>
      </c>
      <c r="F53" s="133">
        <f t="shared" si="3"/>
        <v>554.2</v>
      </c>
      <c r="G53" s="135">
        <f t="shared" si="4"/>
        <v>14259.6</v>
      </c>
    </row>
    <row r="54" ht="14.25" customHeight="1">
      <c r="A54" s="131">
        <v>50.0</v>
      </c>
      <c r="B54" s="132">
        <v>47328.0</v>
      </c>
      <c r="C54" s="146"/>
      <c r="D54" s="135">
        <f t="shared" si="1"/>
        <v>142.6</v>
      </c>
      <c r="E54" s="135">
        <f t="shared" si="2"/>
        <v>407.5</v>
      </c>
      <c r="F54" s="133">
        <f t="shared" si="3"/>
        <v>550.1</v>
      </c>
      <c r="G54" s="135">
        <f t="shared" si="4"/>
        <v>13852.1</v>
      </c>
    </row>
    <row r="55" ht="14.25" customHeight="1">
      <c r="A55" s="131">
        <v>51.0</v>
      </c>
      <c r="B55" s="132">
        <v>47359.0</v>
      </c>
      <c r="C55" s="146"/>
      <c r="D55" s="135">
        <f t="shared" si="1"/>
        <v>138.5</v>
      </c>
      <c r="E55" s="135">
        <f t="shared" si="2"/>
        <v>407.5</v>
      </c>
      <c r="F55" s="133">
        <f t="shared" si="3"/>
        <v>546</v>
      </c>
      <c r="G55" s="135">
        <f t="shared" si="4"/>
        <v>13444.6</v>
      </c>
    </row>
    <row r="56" ht="14.25" customHeight="1">
      <c r="A56" s="131">
        <v>52.0</v>
      </c>
      <c r="B56" s="132">
        <v>47390.0</v>
      </c>
      <c r="C56" s="146"/>
      <c r="D56" s="135">
        <f t="shared" si="1"/>
        <v>134.4</v>
      </c>
      <c r="E56" s="135">
        <f t="shared" si="2"/>
        <v>407.5</v>
      </c>
      <c r="F56" s="133">
        <f t="shared" si="3"/>
        <v>541.9</v>
      </c>
      <c r="G56" s="135">
        <f t="shared" si="4"/>
        <v>13037.1</v>
      </c>
    </row>
    <row r="57" ht="14.25" customHeight="1">
      <c r="A57" s="131">
        <v>53.0</v>
      </c>
      <c r="B57" s="132">
        <v>47420.0</v>
      </c>
      <c r="C57" s="146"/>
      <c r="D57" s="135">
        <f t="shared" si="1"/>
        <v>130.4</v>
      </c>
      <c r="E57" s="135">
        <f t="shared" si="2"/>
        <v>407.5</v>
      </c>
      <c r="F57" s="133">
        <f t="shared" si="3"/>
        <v>537.9</v>
      </c>
      <c r="G57" s="135">
        <f t="shared" si="4"/>
        <v>12629.6</v>
      </c>
    </row>
    <row r="58" ht="14.25" customHeight="1">
      <c r="A58" s="131">
        <v>54.0</v>
      </c>
      <c r="B58" s="132">
        <v>47451.0</v>
      </c>
      <c r="C58" s="146"/>
      <c r="D58" s="135">
        <f t="shared" si="1"/>
        <v>126.3</v>
      </c>
      <c r="E58" s="135">
        <f t="shared" si="2"/>
        <v>407.5</v>
      </c>
      <c r="F58" s="133">
        <f t="shared" si="3"/>
        <v>533.8</v>
      </c>
      <c r="G58" s="135">
        <f t="shared" si="4"/>
        <v>12222.1</v>
      </c>
    </row>
    <row r="59" ht="14.25" customHeight="1">
      <c r="A59" s="131">
        <v>55.0</v>
      </c>
      <c r="B59" s="132">
        <v>47481.0</v>
      </c>
      <c r="C59" s="146"/>
      <c r="D59" s="135">
        <f t="shared" si="1"/>
        <v>122.2</v>
      </c>
      <c r="E59" s="135">
        <f t="shared" si="2"/>
        <v>407.5</v>
      </c>
      <c r="F59" s="133">
        <f t="shared" si="3"/>
        <v>529.7</v>
      </c>
      <c r="G59" s="135">
        <f t="shared" si="4"/>
        <v>11814.6</v>
      </c>
    </row>
    <row r="60" ht="14.25" customHeight="1">
      <c r="A60" s="131">
        <v>56.0</v>
      </c>
      <c r="B60" s="132">
        <v>47512.0</v>
      </c>
      <c r="C60" s="146"/>
      <c r="D60" s="135">
        <f t="shared" si="1"/>
        <v>118.1</v>
      </c>
      <c r="E60" s="135">
        <f t="shared" si="2"/>
        <v>407.5</v>
      </c>
      <c r="F60" s="133">
        <f t="shared" si="3"/>
        <v>525.6</v>
      </c>
      <c r="G60" s="135">
        <f t="shared" si="4"/>
        <v>11407.1</v>
      </c>
    </row>
    <row r="61" ht="14.25" customHeight="1">
      <c r="A61" s="131">
        <v>57.0</v>
      </c>
      <c r="B61" s="132">
        <v>47542.0</v>
      </c>
      <c r="C61" s="146"/>
      <c r="D61" s="135">
        <f t="shared" si="1"/>
        <v>114.1</v>
      </c>
      <c r="E61" s="135">
        <f t="shared" si="2"/>
        <v>407.5</v>
      </c>
      <c r="F61" s="133">
        <f t="shared" si="3"/>
        <v>521.6</v>
      </c>
      <c r="G61" s="135">
        <f t="shared" si="4"/>
        <v>10999.6</v>
      </c>
    </row>
    <row r="62" ht="14.25" customHeight="1">
      <c r="A62" s="131">
        <v>58.0</v>
      </c>
      <c r="B62" s="132">
        <v>47571.0</v>
      </c>
      <c r="C62" s="146"/>
      <c r="D62" s="135">
        <f t="shared" si="1"/>
        <v>110</v>
      </c>
      <c r="E62" s="135">
        <f t="shared" si="2"/>
        <v>407.5</v>
      </c>
      <c r="F62" s="133">
        <f t="shared" si="3"/>
        <v>517.5</v>
      </c>
      <c r="G62" s="135">
        <f t="shared" si="4"/>
        <v>10592.1</v>
      </c>
    </row>
    <row r="63" ht="14.25" customHeight="1">
      <c r="A63" s="131">
        <v>59.0</v>
      </c>
      <c r="B63" s="132">
        <v>47602.0</v>
      </c>
      <c r="C63" s="146"/>
      <c r="D63" s="135">
        <f t="shared" si="1"/>
        <v>105.9</v>
      </c>
      <c r="E63" s="135">
        <f t="shared" si="2"/>
        <v>407.5</v>
      </c>
      <c r="F63" s="133">
        <f t="shared" si="3"/>
        <v>513.4</v>
      </c>
      <c r="G63" s="135">
        <f t="shared" si="4"/>
        <v>10184.6</v>
      </c>
    </row>
    <row r="64" ht="14.25" customHeight="1">
      <c r="A64" s="131">
        <v>60.0</v>
      </c>
      <c r="B64" s="132">
        <v>47632.0</v>
      </c>
      <c r="C64" s="146"/>
      <c r="D64" s="135">
        <f t="shared" si="1"/>
        <v>101.8</v>
      </c>
      <c r="E64" s="135">
        <f t="shared" si="2"/>
        <v>407.5</v>
      </c>
      <c r="F64" s="133">
        <f t="shared" si="3"/>
        <v>509.3</v>
      </c>
      <c r="G64" s="135">
        <f t="shared" si="4"/>
        <v>9777.1</v>
      </c>
    </row>
    <row r="65" ht="14.25" customHeight="1">
      <c r="A65" s="131">
        <v>61.0</v>
      </c>
      <c r="B65" s="132">
        <v>47663.0</v>
      </c>
      <c r="C65" s="146"/>
      <c r="D65" s="135">
        <f t="shared" si="1"/>
        <v>97.8</v>
      </c>
      <c r="E65" s="135">
        <f t="shared" si="2"/>
        <v>407.5</v>
      </c>
      <c r="F65" s="133">
        <f t="shared" si="3"/>
        <v>505.3</v>
      </c>
      <c r="G65" s="135">
        <f t="shared" si="4"/>
        <v>9369.6</v>
      </c>
    </row>
    <row r="66" ht="14.25" customHeight="1">
      <c r="A66" s="131">
        <v>62.0</v>
      </c>
      <c r="B66" s="132">
        <v>47693.0</v>
      </c>
      <c r="C66" s="146"/>
      <c r="D66" s="135">
        <f t="shared" si="1"/>
        <v>93.7</v>
      </c>
      <c r="E66" s="135">
        <f t="shared" si="2"/>
        <v>407.5</v>
      </c>
      <c r="F66" s="133">
        <f t="shared" si="3"/>
        <v>501.2</v>
      </c>
      <c r="G66" s="135">
        <f t="shared" si="4"/>
        <v>8962.1</v>
      </c>
    </row>
    <row r="67" ht="14.25" customHeight="1">
      <c r="A67" s="131">
        <v>63.0</v>
      </c>
      <c r="B67" s="132">
        <v>47724.0</v>
      </c>
      <c r="C67" s="146"/>
      <c r="D67" s="135">
        <f t="shared" si="1"/>
        <v>89.6</v>
      </c>
      <c r="E67" s="135">
        <f t="shared" si="2"/>
        <v>407.5</v>
      </c>
      <c r="F67" s="133">
        <f t="shared" si="3"/>
        <v>497.1</v>
      </c>
      <c r="G67" s="135">
        <f t="shared" si="4"/>
        <v>8554.6</v>
      </c>
    </row>
    <row r="68" ht="14.25" customHeight="1">
      <c r="A68" s="131">
        <v>64.0</v>
      </c>
      <c r="B68" s="132">
        <v>47755.0</v>
      </c>
      <c r="C68" s="146"/>
      <c r="D68" s="135">
        <f t="shared" si="1"/>
        <v>85.5</v>
      </c>
      <c r="E68" s="135">
        <f t="shared" si="2"/>
        <v>407.5</v>
      </c>
      <c r="F68" s="133">
        <f t="shared" si="3"/>
        <v>493</v>
      </c>
      <c r="G68" s="135">
        <f t="shared" si="4"/>
        <v>8147.1</v>
      </c>
    </row>
    <row r="69" ht="14.25" customHeight="1">
      <c r="A69" s="131">
        <v>65.0</v>
      </c>
      <c r="B69" s="132">
        <v>47785.0</v>
      </c>
      <c r="C69" s="146"/>
      <c r="D69" s="135">
        <f t="shared" si="1"/>
        <v>81.5</v>
      </c>
      <c r="E69" s="135">
        <f t="shared" si="2"/>
        <v>407.5</v>
      </c>
      <c r="F69" s="133">
        <f t="shared" si="3"/>
        <v>489</v>
      </c>
      <c r="G69" s="135">
        <f t="shared" si="4"/>
        <v>7739.6</v>
      </c>
    </row>
    <row r="70" ht="14.25" customHeight="1">
      <c r="A70" s="131">
        <v>66.0</v>
      </c>
      <c r="B70" s="132">
        <v>47816.0</v>
      </c>
      <c r="C70" s="146"/>
      <c r="D70" s="135">
        <f t="shared" si="1"/>
        <v>77.4</v>
      </c>
      <c r="E70" s="135">
        <f t="shared" si="2"/>
        <v>407.5</v>
      </c>
      <c r="F70" s="133">
        <f t="shared" si="3"/>
        <v>484.9</v>
      </c>
      <c r="G70" s="135">
        <f t="shared" si="4"/>
        <v>7332.1</v>
      </c>
    </row>
    <row r="71" ht="14.25" customHeight="1">
      <c r="A71" s="131">
        <v>67.0</v>
      </c>
      <c r="B71" s="132">
        <v>47846.0</v>
      </c>
      <c r="C71" s="146"/>
      <c r="D71" s="135">
        <f t="shared" si="1"/>
        <v>73.3</v>
      </c>
      <c r="E71" s="135">
        <f t="shared" si="2"/>
        <v>407.5</v>
      </c>
      <c r="F71" s="133">
        <f t="shared" si="3"/>
        <v>480.8</v>
      </c>
      <c r="G71" s="135">
        <f t="shared" si="4"/>
        <v>6924.6</v>
      </c>
    </row>
    <row r="72" ht="14.25" customHeight="1">
      <c r="A72" s="131">
        <v>68.0</v>
      </c>
      <c r="B72" s="132">
        <v>47877.0</v>
      </c>
      <c r="C72" s="146"/>
      <c r="D72" s="135">
        <f t="shared" si="1"/>
        <v>69.2</v>
      </c>
      <c r="E72" s="135">
        <f t="shared" si="2"/>
        <v>407.5</v>
      </c>
      <c r="F72" s="133">
        <f t="shared" si="3"/>
        <v>476.7</v>
      </c>
      <c r="G72" s="135">
        <f t="shared" si="4"/>
        <v>6517.1</v>
      </c>
    </row>
    <row r="73" ht="14.25" customHeight="1">
      <c r="A73" s="131">
        <v>69.0</v>
      </c>
      <c r="B73" s="132">
        <v>47907.0</v>
      </c>
      <c r="C73" s="146"/>
      <c r="D73" s="135">
        <f t="shared" si="1"/>
        <v>65.2</v>
      </c>
      <c r="E73" s="135">
        <f t="shared" si="2"/>
        <v>407.5</v>
      </c>
      <c r="F73" s="133">
        <f t="shared" si="3"/>
        <v>472.7</v>
      </c>
      <c r="G73" s="135">
        <f t="shared" si="4"/>
        <v>6109.6</v>
      </c>
    </row>
    <row r="74" ht="14.25" customHeight="1">
      <c r="A74" s="131">
        <v>70.0</v>
      </c>
      <c r="B74" s="132">
        <v>47936.0</v>
      </c>
      <c r="C74" s="146"/>
      <c r="D74" s="135">
        <f t="shared" si="1"/>
        <v>61.1</v>
      </c>
      <c r="E74" s="135">
        <f t="shared" si="2"/>
        <v>407.5</v>
      </c>
      <c r="F74" s="133">
        <f t="shared" si="3"/>
        <v>468.6</v>
      </c>
      <c r="G74" s="135">
        <f t="shared" si="4"/>
        <v>5702.1</v>
      </c>
    </row>
    <row r="75" ht="14.25" customHeight="1">
      <c r="A75" s="131">
        <v>71.0</v>
      </c>
      <c r="B75" s="132">
        <v>47967.0</v>
      </c>
      <c r="C75" s="146"/>
      <c r="D75" s="135">
        <f t="shared" si="1"/>
        <v>57</v>
      </c>
      <c r="E75" s="135">
        <f t="shared" si="2"/>
        <v>407.5</v>
      </c>
      <c r="F75" s="133">
        <f t="shared" si="3"/>
        <v>464.5</v>
      </c>
      <c r="G75" s="135">
        <f t="shared" si="4"/>
        <v>5294.6</v>
      </c>
    </row>
    <row r="76" ht="14.25" customHeight="1">
      <c r="A76" s="131">
        <v>72.0</v>
      </c>
      <c r="B76" s="132">
        <v>47997.0</v>
      </c>
      <c r="C76" s="146"/>
      <c r="D76" s="135">
        <f t="shared" si="1"/>
        <v>52.9</v>
      </c>
      <c r="E76" s="135">
        <f t="shared" si="2"/>
        <v>407.5</v>
      </c>
      <c r="F76" s="133">
        <f t="shared" si="3"/>
        <v>460.4</v>
      </c>
      <c r="G76" s="135">
        <f t="shared" si="4"/>
        <v>4887.1</v>
      </c>
    </row>
    <row r="77" ht="14.25" customHeight="1">
      <c r="A77" s="131">
        <v>73.0</v>
      </c>
      <c r="B77" s="132">
        <v>48028.0</v>
      </c>
      <c r="C77" s="146"/>
      <c r="D77" s="135">
        <f t="shared" si="1"/>
        <v>48.9</v>
      </c>
      <c r="E77" s="135">
        <f t="shared" si="2"/>
        <v>407.5</v>
      </c>
      <c r="F77" s="133">
        <f t="shared" si="3"/>
        <v>456.4</v>
      </c>
      <c r="G77" s="135">
        <f t="shared" si="4"/>
        <v>4479.6</v>
      </c>
    </row>
    <row r="78" ht="14.25" customHeight="1">
      <c r="A78" s="131">
        <v>74.0</v>
      </c>
      <c r="B78" s="132">
        <v>48058.0</v>
      </c>
      <c r="C78" s="146"/>
      <c r="D78" s="135">
        <f t="shared" si="1"/>
        <v>44.8</v>
      </c>
      <c r="E78" s="135">
        <f t="shared" si="2"/>
        <v>407.5</v>
      </c>
      <c r="F78" s="133">
        <f t="shared" si="3"/>
        <v>452.3</v>
      </c>
      <c r="G78" s="135">
        <f t="shared" si="4"/>
        <v>4072.1</v>
      </c>
    </row>
    <row r="79" ht="14.25" customHeight="1">
      <c r="A79" s="131">
        <v>75.0</v>
      </c>
      <c r="B79" s="132">
        <v>48089.0</v>
      </c>
      <c r="C79" s="146"/>
      <c r="D79" s="135">
        <f t="shared" si="1"/>
        <v>40.7</v>
      </c>
      <c r="E79" s="135">
        <f t="shared" si="2"/>
        <v>407.5</v>
      </c>
      <c r="F79" s="133">
        <f t="shared" si="3"/>
        <v>448.2</v>
      </c>
      <c r="G79" s="135">
        <f t="shared" si="4"/>
        <v>3664.6</v>
      </c>
    </row>
    <row r="80" ht="14.25" customHeight="1">
      <c r="A80" s="131">
        <v>76.0</v>
      </c>
      <c r="B80" s="132">
        <v>48120.0</v>
      </c>
      <c r="C80" s="146"/>
      <c r="D80" s="135">
        <f t="shared" si="1"/>
        <v>36.6</v>
      </c>
      <c r="E80" s="135">
        <f t="shared" si="2"/>
        <v>407.5</v>
      </c>
      <c r="F80" s="133">
        <f t="shared" si="3"/>
        <v>444.1</v>
      </c>
      <c r="G80" s="135">
        <f t="shared" si="4"/>
        <v>3257.1</v>
      </c>
    </row>
    <row r="81" ht="14.25" customHeight="1">
      <c r="A81" s="131">
        <v>77.0</v>
      </c>
      <c r="B81" s="132">
        <v>48150.0</v>
      </c>
      <c r="C81" s="146"/>
      <c r="D81" s="135">
        <f t="shared" si="1"/>
        <v>32.6</v>
      </c>
      <c r="E81" s="135">
        <f t="shared" si="2"/>
        <v>407.5</v>
      </c>
      <c r="F81" s="133">
        <f t="shared" si="3"/>
        <v>440.1</v>
      </c>
      <c r="G81" s="135">
        <f t="shared" si="4"/>
        <v>2849.6</v>
      </c>
    </row>
    <row r="82" ht="14.25" customHeight="1">
      <c r="A82" s="131">
        <v>78.0</v>
      </c>
      <c r="B82" s="132">
        <v>48181.0</v>
      </c>
      <c r="C82" s="146"/>
      <c r="D82" s="135">
        <f t="shared" si="1"/>
        <v>28.5</v>
      </c>
      <c r="E82" s="135">
        <f t="shared" si="2"/>
        <v>407.5</v>
      </c>
      <c r="F82" s="133">
        <f t="shared" si="3"/>
        <v>436</v>
      </c>
      <c r="G82" s="135">
        <f t="shared" si="4"/>
        <v>2442.1</v>
      </c>
    </row>
    <row r="83" ht="14.25" customHeight="1">
      <c r="A83" s="131">
        <v>79.0</v>
      </c>
      <c r="B83" s="132">
        <v>48211.0</v>
      </c>
      <c r="C83" s="146"/>
      <c r="D83" s="135">
        <f t="shared" si="1"/>
        <v>24.4</v>
      </c>
      <c r="E83" s="135">
        <f t="shared" si="2"/>
        <v>407.5</v>
      </c>
      <c r="F83" s="133">
        <f t="shared" si="3"/>
        <v>431.9</v>
      </c>
      <c r="G83" s="135">
        <f t="shared" si="4"/>
        <v>2034.6</v>
      </c>
    </row>
    <row r="84" ht="14.25" customHeight="1">
      <c r="A84" s="131">
        <v>80.0</v>
      </c>
      <c r="B84" s="132">
        <v>48242.0</v>
      </c>
      <c r="C84" s="146"/>
      <c r="D84" s="135">
        <f t="shared" si="1"/>
        <v>20.3</v>
      </c>
      <c r="E84" s="135">
        <f t="shared" si="2"/>
        <v>407.5</v>
      </c>
      <c r="F84" s="133">
        <f t="shared" si="3"/>
        <v>427.8</v>
      </c>
      <c r="G84" s="135">
        <f t="shared" si="4"/>
        <v>1627.1</v>
      </c>
    </row>
    <row r="85" ht="14.25" customHeight="1">
      <c r="A85" s="131">
        <v>81.0</v>
      </c>
      <c r="B85" s="132">
        <v>48273.0</v>
      </c>
      <c r="C85" s="146"/>
      <c r="D85" s="135">
        <f t="shared" si="1"/>
        <v>16.3</v>
      </c>
      <c r="E85" s="135">
        <f t="shared" si="2"/>
        <v>407.5</v>
      </c>
      <c r="F85" s="133">
        <f t="shared" si="3"/>
        <v>423.8</v>
      </c>
      <c r="G85" s="135">
        <f t="shared" si="4"/>
        <v>1219.6</v>
      </c>
    </row>
    <row r="86" ht="14.25" customHeight="1">
      <c r="A86" s="131">
        <v>82.0</v>
      </c>
      <c r="B86" s="132">
        <v>48302.0</v>
      </c>
      <c r="C86" s="146"/>
      <c r="D86" s="135">
        <f t="shared" si="1"/>
        <v>12.2</v>
      </c>
      <c r="E86" s="135">
        <f t="shared" si="2"/>
        <v>407.5</v>
      </c>
      <c r="F86" s="133">
        <f t="shared" si="3"/>
        <v>419.7</v>
      </c>
      <c r="G86" s="135">
        <f t="shared" si="4"/>
        <v>812.1</v>
      </c>
    </row>
    <row r="87" ht="14.25" customHeight="1">
      <c r="A87" s="131">
        <v>83.0</v>
      </c>
      <c r="B87" s="132">
        <v>48333.0</v>
      </c>
      <c r="C87" s="146"/>
      <c r="D87" s="135">
        <f t="shared" si="1"/>
        <v>8.1</v>
      </c>
      <c r="E87" s="135">
        <f t="shared" si="2"/>
        <v>407.5</v>
      </c>
      <c r="F87" s="133">
        <f t="shared" si="3"/>
        <v>415.6</v>
      </c>
      <c r="G87" s="135">
        <f t="shared" si="4"/>
        <v>404.6</v>
      </c>
    </row>
    <row r="88" ht="14.25" customHeight="1">
      <c r="A88" s="131">
        <v>84.0</v>
      </c>
      <c r="B88" s="132">
        <v>48363.0</v>
      </c>
      <c r="C88" s="146"/>
      <c r="D88" s="135">
        <f t="shared" si="1"/>
        <v>4</v>
      </c>
      <c r="E88" s="135">
        <f>ROUNDUP($C$4/84,1)-2.9</f>
        <v>404.6</v>
      </c>
      <c r="F88" s="133">
        <f t="shared" si="3"/>
        <v>408.6</v>
      </c>
      <c r="G88" s="135">
        <f t="shared" si="4"/>
        <v>0</v>
      </c>
    </row>
    <row r="89" ht="14.25" customHeight="1">
      <c r="A89" s="129" t="s">
        <v>252</v>
      </c>
      <c r="B89" s="2"/>
      <c r="C89" s="3"/>
      <c r="D89" s="147">
        <f t="shared" ref="D89:F89" si="5">+SUM(D5:D88)</f>
        <v>14544.6</v>
      </c>
      <c r="E89" s="147">
        <f t="shared" si="5"/>
        <v>34227.1</v>
      </c>
      <c r="F89" s="147">
        <f t="shared" si="5"/>
        <v>48771.7</v>
      </c>
      <c r="G89" s="148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380</v>
      </c>
      <c r="B1" s="2"/>
      <c r="C1" s="2"/>
      <c r="D1" s="2"/>
      <c r="E1" s="2"/>
      <c r="F1" s="2"/>
      <c r="G1" s="3"/>
    </row>
    <row r="2" ht="14.25" customHeight="1">
      <c r="A2" s="129" t="s">
        <v>351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45929.0</v>
      </c>
      <c r="C4" s="133">
        <f>+J7</f>
        <v>29925.5</v>
      </c>
      <c r="D4" s="134">
        <v>0.01</v>
      </c>
      <c r="E4" s="135"/>
      <c r="F4" s="135"/>
      <c r="G4" s="135">
        <f>+C4</f>
        <v>29925.5</v>
      </c>
    </row>
    <row r="5" ht="14.25" customHeight="1">
      <c r="A5" s="136">
        <v>1.0</v>
      </c>
      <c r="B5" s="137">
        <v>45959.0</v>
      </c>
      <c r="C5" s="145"/>
      <c r="D5" s="138">
        <f t="shared" ref="D5:D88" si="1">+ROUND(G4*0.01,1)</f>
        <v>299.3</v>
      </c>
      <c r="E5" s="138">
        <f t="shared" ref="E5:E87" si="2">ROUNDUP($C$4/84,1)</f>
        <v>356.3</v>
      </c>
      <c r="F5" s="139">
        <f t="shared" ref="F5:F88" si="3">+ROUND(D5+E5,1)</f>
        <v>655.6</v>
      </c>
      <c r="G5" s="138">
        <f t="shared" ref="G5:G88" si="4">+ROUND(G4-E5,1)</f>
        <v>29569.2</v>
      </c>
      <c r="I5" s="140" t="s">
        <v>209</v>
      </c>
      <c r="J5" s="141">
        <v>21925.5</v>
      </c>
    </row>
    <row r="6" ht="14.25" customHeight="1">
      <c r="A6" s="136">
        <v>2.0</v>
      </c>
      <c r="B6" s="137">
        <v>45990.0</v>
      </c>
      <c r="C6" s="145"/>
      <c r="D6" s="138">
        <f t="shared" si="1"/>
        <v>295.7</v>
      </c>
      <c r="E6" s="138">
        <f t="shared" si="2"/>
        <v>356.3</v>
      </c>
      <c r="F6" s="139">
        <f t="shared" si="3"/>
        <v>652</v>
      </c>
      <c r="G6" s="138">
        <f t="shared" si="4"/>
        <v>29212.9</v>
      </c>
      <c r="I6" s="140" t="s">
        <v>331</v>
      </c>
      <c r="J6" s="141">
        <v>8000.0</v>
      </c>
    </row>
    <row r="7" ht="14.25" customHeight="1">
      <c r="A7" s="136">
        <v>3.0</v>
      </c>
      <c r="B7" s="137">
        <v>46020.0</v>
      </c>
      <c r="C7" s="145"/>
      <c r="D7" s="138">
        <f t="shared" si="1"/>
        <v>292.1</v>
      </c>
      <c r="E7" s="138">
        <f t="shared" si="2"/>
        <v>356.3</v>
      </c>
      <c r="F7" s="139">
        <f t="shared" si="3"/>
        <v>648.4</v>
      </c>
      <c r="G7" s="138">
        <f t="shared" si="4"/>
        <v>28856.6</v>
      </c>
      <c r="I7" s="142" t="s">
        <v>252</v>
      </c>
      <c r="J7" s="143">
        <f>+SUM(J5:J6)</f>
        <v>29925.5</v>
      </c>
    </row>
    <row r="8" ht="14.25" customHeight="1">
      <c r="A8" s="131">
        <v>4.0</v>
      </c>
      <c r="B8" s="132">
        <v>46051.0</v>
      </c>
      <c r="C8" s="146"/>
      <c r="D8" s="135">
        <f t="shared" si="1"/>
        <v>288.6</v>
      </c>
      <c r="E8" s="135">
        <f t="shared" si="2"/>
        <v>356.3</v>
      </c>
      <c r="F8" s="133">
        <f t="shared" si="3"/>
        <v>644.9</v>
      </c>
      <c r="G8" s="135">
        <f t="shared" si="4"/>
        <v>28500.3</v>
      </c>
    </row>
    <row r="9" ht="14.25" customHeight="1">
      <c r="A9" s="131">
        <v>5.0</v>
      </c>
      <c r="B9" s="132">
        <v>46081.0</v>
      </c>
      <c r="C9" s="146"/>
      <c r="D9" s="135">
        <f t="shared" si="1"/>
        <v>285</v>
      </c>
      <c r="E9" s="135">
        <f t="shared" si="2"/>
        <v>356.3</v>
      </c>
      <c r="F9" s="133">
        <f t="shared" si="3"/>
        <v>641.3</v>
      </c>
      <c r="G9" s="135">
        <f t="shared" si="4"/>
        <v>28144</v>
      </c>
    </row>
    <row r="10" ht="14.25" customHeight="1">
      <c r="A10" s="131">
        <v>6.0</v>
      </c>
      <c r="B10" s="132">
        <v>46110.0</v>
      </c>
      <c r="C10" s="146"/>
      <c r="D10" s="135">
        <f t="shared" si="1"/>
        <v>281.4</v>
      </c>
      <c r="E10" s="135">
        <f t="shared" si="2"/>
        <v>356.3</v>
      </c>
      <c r="F10" s="133">
        <f t="shared" si="3"/>
        <v>637.7</v>
      </c>
      <c r="G10" s="135">
        <f t="shared" si="4"/>
        <v>27787.7</v>
      </c>
    </row>
    <row r="11" ht="14.25" customHeight="1">
      <c r="A11" s="131">
        <v>7.0</v>
      </c>
      <c r="B11" s="132">
        <v>46141.0</v>
      </c>
      <c r="C11" s="146"/>
      <c r="D11" s="135">
        <f t="shared" si="1"/>
        <v>277.9</v>
      </c>
      <c r="E11" s="135">
        <f t="shared" si="2"/>
        <v>356.3</v>
      </c>
      <c r="F11" s="133">
        <f t="shared" si="3"/>
        <v>634.2</v>
      </c>
      <c r="G11" s="135">
        <f t="shared" si="4"/>
        <v>27431.4</v>
      </c>
    </row>
    <row r="12" ht="14.25" customHeight="1">
      <c r="A12" s="131">
        <v>8.0</v>
      </c>
      <c r="B12" s="132">
        <v>46171.0</v>
      </c>
      <c r="C12" s="146"/>
      <c r="D12" s="135">
        <f t="shared" si="1"/>
        <v>274.3</v>
      </c>
      <c r="E12" s="135">
        <f t="shared" si="2"/>
        <v>356.3</v>
      </c>
      <c r="F12" s="133">
        <f t="shared" si="3"/>
        <v>630.6</v>
      </c>
      <c r="G12" s="135">
        <f t="shared" si="4"/>
        <v>27075.1</v>
      </c>
    </row>
    <row r="13" ht="14.25" customHeight="1">
      <c r="A13" s="131">
        <v>9.0</v>
      </c>
      <c r="B13" s="132">
        <v>46202.0</v>
      </c>
      <c r="C13" s="146"/>
      <c r="D13" s="135">
        <f t="shared" si="1"/>
        <v>270.8</v>
      </c>
      <c r="E13" s="135">
        <f t="shared" si="2"/>
        <v>356.3</v>
      </c>
      <c r="F13" s="133">
        <f t="shared" si="3"/>
        <v>627.1</v>
      </c>
      <c r="G13" s="135">
        <f t="shared" si="4"/>
        <v>26718.8</v>
      </c>
    </row>
    <row r="14" ht="14.25" customHeight="1">
      <c r="A14" s="131">
        <v>10.0</v>
      </c>
      <c r="B14" s="132">
        <v>46232.0</v>
      </c>
      <c r="C14" s="146"/>
      <c r="D14" s="135">
        <f t="shared" si="1"/>
        <v>267.2</v>
      </c>
      <c r="E14" s="135">
        <f t="shared" si="2"/>
        <v>356.3</v>
      </c>
      <c r="F14" s="133">
        <f t="shared" si="3"/>
        <v>623.5</v>
      </c>
      <c r="G14" s="135">
        <f t="shared" si="4"/>
        <v>26362.5</v>
      </c>
    </row>
    <row r="15" ht="14.25" customHeight="1">
      <c r="A15" s="131">
        <v>11.0</v>
      </c>
      <c r="B15" s="132">
        <v>46263.0</v>
      </c>
      <c r="C15" s="146"/>
      <c r="D15" s="135">
        <f t="shared" si="1"/>
        <v>263.6</v>
      </c>
      <c r="E15" s="135">
        <f t="shared" si="2"/>
        <v>356.3</v>
      </c>
      <c r="F15" s="133">
        <f t="shared" si="3"/>
        <v>619.9</v>
      </c>
      <c r="G15" s="135">
        <f t="shared" si="4"/>
        <v>26006.2</v>
      </c>
    </row>
    <row r="16" ht="14.25" customHeight="1">
      <c r="A16" s="131">
        <v>12.0</v>
      </c>
      <c r="B16" s="132">
        <v>46294.0</v>
      </c>
      <c r="C16" s="146"/>
      <c r="D16" s="135">
        <f t="shared" si="1"/>
        <v>260.1</v>
      </c>
      <c r="E16" s="135">
        <f t="shared" si="2"/>
        <v>356.3</v>
      </c>
      <c r="F16" s="133">
        <f t="shared" si="3"/>
        <v>616.4</v>
      </c>
      <c r="G16" s="135">
        <f t="shared" si="4"/>
        <v>25649.9</v>
      </c>
    </row>
    <row r="17" ht="14.25" customHeight="1">
      <c r="A17" s="131">
        <v>13.0</v>
      </c>
      <c r="B17" s="132">
        <v>46324.0</v>
      </c>
      <c r="C17" s="146"/>
      <c r="D17" s="135">
        <f t="shared" si="1"/>
        <v>256.5</v>
      </c>
      <c r="E17" s="135">
        <f t="shared" si="2"/>
        <v>356.3</v>
      </c>
      <c r="F17" s="133">
        <f t="shared" si="3"/>
        <v>612.8</v>
      </c>
      <c r="G17" s="135">
        <f t="shared" si="4"/>
        <v>25293.6</v>
      </c>
    </row>
    <row r="18" ht="14.25" customHeight="1">
      <c r="A18" s="131">
        <v>14.0</v>
      </c>
      <c r="B18" s="132">
        <v>46355.0</v>
      </c>
      <c r="C18" s="146"/>
      <c r="D18" s="135">
        <f t="shared" si="1"/>
        <v>252.9</v>
      </c>
      <c r="E18" s="135">
        <f t="shared" si="2"/>
        <v>356.3</v>
      </c>
      <c r="F18" s="133">
        <f t="shared" si="3"/>
        <v>609.2</v>
      </c>
      <c r="G18" s="135">
        <f t="shared" si="4"/>
        <v>24937.3</v>
      </c>
    </row>
    <row r="19" ht="14.25" customHeight="1">
      <c r="A19" s="131">
        <v>15.0</v>
      </c>
      <c r="B19" s="132">
        <v>46385.0</v>
      </c>
      <c r="C19" s="146"/>
      <c r="D19" s="135">
        <f t="shared" si="1"/>
        <v>249.4</v>
      </c>
      <c r="E19" s="135">
        <f t="shared" si="2"/>
        <v>356.3</v>
      </c>
      <c r="F19" s="133">
        <f t="shared" si="3"/>
        <v>605.7</v>
      </c>
      <c r="G19" s="135">
        <f t="shared" si="4"/>
        <v>24581</v>
      </c>
    </row>
    <row r="20" ht="14.25" customHeight="1">
      <c r="A20" s="131">
        <v>16.0</v>
      </c>
      <c r="B20" s="132">
        <v>46416.0</v>
      </c>
      <c r="C20" s="146"/>
      <c r="D20" s="135">
        <f t="shared" si="1"/>
        <v>245.8</v>
      </c>
      <c r="E20" s="135">
        <f t="shared" si="2"/>
        <v>356.3</v>
      </c>
      <c r="F20" s="133">
        <f t="shared" si="3"/>
        <v>602.1</v>
      </c>
      <c r="G20" s="135">
        <f t="shared" si="4"/>
        <v>24224.7</v>
      </c>
    </row>
    <row r="21" ht="14.25" customHeight="1">
      <c r="A21" s="131">
        <v>17.0</v>
      </c>
      <c r="B21" s="132">
        <v>46446.0</v>
      </c>
      <c r="C21" s="146"/>
      <c r="D21" s="135">
        <f t="shared" si="1"/>
        <v>242.2</v>
      </c>
      <c r="E21" s="135">
        <f t="shared" si="2"/>
        <v>356.3</v>
      </c>
      <c r="F21" s="133">
        <f t="shared" si="3"/>
        <v>598.5</v>
      </c>
      <c r="G21" s="135">
        <f t="shared" si="4"/>
        <v>23868.4</v>
      </c>
    </row>
    <row r="22" ht="14.25" customHeight="1">
      <c r="A22" s="131">
        <v>18.0</v>
      </c>
      <c r="B22" s="132">
        <v>46475.0</v>
      </c>
      <c r="C22" s="146"/>
      <c r="D22" s="135">
        <f t="shared" si="1"/>
        <v>238.7</v>
      </c>
      <c r="E22" s="135">
        <f t="shared" si="2"/>
        <v>356.3</v>
      </c>
      <c r="F22" s="133">
        <f t="shared" si="3"/>
        <v>595</v>
      </c>
      <c r="G22" s="135">
        <f t="shared" si="4"/>
        <v>23512.1</v>
      </c>
    </row>
    <row r="23" ht="14.25" customHeight="1">
      <c r="A23" s="131">
        <v>19.0</v>
      </c>
      <c r="B23" s="132">
        <v>46506.0</v>
      </c>
      <c r="C23" s="146"/>
      <c r="D23" s="135">
        <f t="shared" si="1"/>
        <v>235.1</v>
      </c>
      <c r="E23" s="135">
        <f t="shared" si="2"/>
        <v>356.3</v>
      </c>
      <c r="F23" s="133">
        <f t="shared" si="3"/>
        <v>591.4</v>
      </c>
      <c r="G23" s="135">
        <f t="shared" si="4"/>
        <v>23155.8</v>
      </c>
    </row>
    <row r="24" ht="14.25" customHeight="1">
      <c r="A24" s="131">
        <v>20.0</v>
      </c>
      <c r="B24" s="132">
        <v>46536.0</v>
      </c>
      <c r="C24" s="146"/>
      <c r="D24" s="135">
        <f t="shared" si="1"/>
        <v>231.6</v>
      </c>
      <c r="E24" s="135">
        <f t="shared" si="2"/>
        <v>356.3</v>
      </c>
      <c r="F24" s="133">
        <f t="shared" si="3"/>
        <v>587.9</v>
      </c>
      <c r="G24" s="135">
        <f t="shared" si="4"/>
        <v>22799.5</v>
      </c>
    </row>
    <row r="25" ht="14.25" customHeight="1">
      <c r="A25" s="131">
        <v>21.0</v>
      </c>
      <c r="B25" s="132">
        <v>46567.0</v>
      </c>
      <c r="C25" s="146"/>
      <c r="D25" s="135">
        <f t="shared" si="1"/>
        <v>228</v>
      </c>
      <c r="E25" s="135">
        <f t="shared" si="2"/>
        <v>356.3</v>
      </c>
      <c r="F25" s="133">
        <f t="shared" si="3"/>
        <v>584.3</v>
      </c>
      <c r="G25" s="135">
        <f t="shared" si="4"/>
        <v>22443.2</v>
      </c>
    </row>
    <row r="26" ht="14.25" customHeight="1">
      <c r="A26" s="131">
        <v>22.0</v>
      </c>
      <c r="B26" s="132">
        <v>46597.0</v>
      </c>
      <c r="C26" s="146"/>
      <c r="D26" s="135">
        <f t="shared" si="1"/>
        <v>224.4</v>
      </c>
      <c r="E26" s="135">
        <f t="shared" si="2"/>
        <v>356.3</v>
      </c>
      <c r="F26" s="133">
        <f t="shared" si="3"/>
        <v>580.7</v>
      </c>
      <c r="G26" s="135">
        <f t="shared" si="4"/>
        <v>22086.9</v>
      </c>
    </row>
    <row r="27" ht="14.25" customHeight="1">
      <c r="A27" s="131">
        <v>23.0</v>
      </c>
      <c r="B27" s="132">
        <v>46628.0</v>
      </c>
      <c r="C27" s="146"/>
      <c r="D27" s="135">
        <f t="shared" si="1"/>
        <v>220.9</v>
      </c>
      <c r="E27" s="135">
        <f t="shared" si="2"/>
        <v>356.3</v>
      </c>
      <c r="F27" s="133">
        <f t="shared" si="3"/>
        <v>577.2</v>
      </c>
      <c r="G27" s="135">
        <f t="shared" si="4"/>
        <v>21730.6</v>
      </c>
    </row>
    <row r="28" ht="14.25" customHeight="1">
      <c r="A28" s="131">
        <v>24.0</v>
      </c>
      <c r="B28" s="132">
        <v>46659.0</v>
      </c>
      <c r="C28" s="146"/>
      <c r="D28" s="135">
        <f t="shared" si="1"/>
        <v>217.3</v>
      </c>
      <c r="E28" s="135">
        <f t="shared" si="2"/>
        <v>356.3</v>
      </c>
      <c r="F28" s="133">
        <f t="shared" si="3"/>
        <v>573.6</v>
      </c>
      <c r="G28" s="135">
        <f t="shared" si="4"/>
        <v>21374.3</v>
      </c>
    </row>
    <row r="29" ht="14.25" customHeight="1">
      <c r="A29" s="131">
        <v>25.0</v>
      </c>
      <c r="B29" s="132">
        <v>46689.0</v>
      </c>
      <c r="C29" s="146"/>
      <c r="D29" s="135">
        <f t="shared" si="1"/>
        <v>213.7</v>
      </c>
      <c r="E29" s="135">
        <f t="shared" si="2"/>
        <v>356.3</v>
      </c>
      <c r="F29" s="133">
        <f t="shared" si="3"/>
        <v>570</v>
      </c>
      <c r="G29" s="135">
        <f t="shared" si="4"/>
        <v>21018</v>
      </c>
    </row>
    <row r="30" ht="14.25" customHeight="1">
      <c r="A30" s="131">
        <v>26.0</v>
      </c>
      <c r="B30" s="132">
        <v>46720.0</v>
      </c>
      <c r="C30" s="146"/>
      <c r="D30" s="135">
        <f t="shared" si="1"/>
        <v>210.2</v>
      </c>
      <c r="E30" s="135">
        <f t="shared" si="2"/>
        <v>356.3</v>
      </c>
      <c r="F30" s="133">
        <f t="shared" si="3"/>
        <v>566.5</v>
      </c>
      <c r="G30" s="135">
        <f t="shared" si="4"/>
        <v>20661.7</v>
      </c>
    </row>
    <row r="31" ht="14.25" customHeight="1">
      <c r="A31" s="131">
        <v>27.0</v>
      </c>
      <c r="B31" s="132">
        <v>46750.0</v>
      </c>
      <c r="C31" s="146"/>
      <c r="D31" s="135">
        <f t="shared" si="1"/>
        <v>206.6</v>
      </c>
      <c r="E31" s="135">
        <f t="shared" si="2"/>
        <v>356.3</v>
      </c>
      <c r="F31" s="133">
        <f t="shared" si="3"/>
        <v>562.9</v>
      </c>
      <c r="G31" s="135">
        <f t="shared" si="4"/>
        <v>20305.4</v>
      </c>
    </row>
    <row r="32" ht="14.25" customHeight="1">
      <c r="A32" s="131">
        <v>28.0</v>
      </c>
      <c r="B32" s="132">
        <v>46781.0</v>
      </c>
      <c r="C32" s="146"/>
      <c r="D32" s="135">
        <f t="shared" si="1"/>
        <v>203.1</v>
      </c>
      <c r="E32" s="135">
        <f t="shared" si="2"/>
        <v>356.3</v>
      </c>
      <c r="F32" s="133">
        <f t="shared" si="3"/>
        <v>559.4</v>
      </c>
      <c r="G32" s="135">
        <f t="shared" si="4"/>
        <v>19949.1</v>
      </c>
    </row>
    <row r="33" ht="14.25" customHeight="1">
      <c r="A33" s="131">
        <v>29.0</v>
      </c>
      <c r="B33" s="132">
        <v>46812.0</v>
      </c>
      <c r="C33" s="146"/>
      <c r="D33" s="135">
        <f t="shared" si="1"/>
        <v>199.5</v>
      </c>
      <c r="E33" s="135">
        <f t="shared" si="2"/>
        <v>356.3</v>
      </c>
      <c r="F33" s="133">
        <f t="shared" si="3"/>
        <v>555.8</v>
      </c>
      <c r="G33" s="135">
        <f t="shared" si="4"/>
        <v>19592.8</v>
      </c>
    </row>
    <row r="34" ht="14.25" customHeight="1">
      <c r="A34" s="131">
        <v>30.0</v>
      </c>
      <c r="B34" s="132">
        <v>46841.0</v>
      </c>
      <c r="C34" s="146"/>
      <c r="D34" s="135">
        <f t="shared" si="1"/>
        <v>195.9</v>
      </c>
      <c r="E34" s="135">
        <f t="shared" si="2"/>
        <v>356.3</v>
      </c>
      <c r="F34" s="133">
        <f t="shared" si="3"/>
        <v>552.2</v>
      </c>
      <c r="G34" s="135">
        <f t="shared" si="4"/>
        <v>19236.5</v>
      </c>
    </row>
    <row r="35" ht="14.25" customHeight="1">
      <c r="A35" s="131">
        <v>31.0</v>
      </c>
      <c r="B35" s="132">
        <v>46872.0</v>
      </c>
      <c r="C35" s="146"/>
      <c r="D35" s="135">
        <f t="shared" si="1"/>
        <v>192.4</v>
      </c>
      <c r="E35" s="135">
        <f t="shared" si="2"/>
        <v>356.3</v>
      </c>
      <c r="F35" s="133">
        <f t="shared" si="3"/>
        <v>548.7</v>
      </c>
      <c r="G35" s="135">
        <f t="shared" si="4"/>
        <v>18880.2</v>
      </c>
    </row>
    <row r="36" ht="14.25" customHeight="1">
      <c r="A36" s="131">
        <v>32.0</v>
      </c>
      <c r="B36" s="132">
        <v>46902.0</v>
      </c>
      <c r="C36" s="146"/>
      <c r="D36" s="135">
        <f t="shared" si="1"/>
        <v>188.8</v>
      </c>
      <c r="E36" s="135">
        <f t="shared" si="2"/>
        <v>356.3</v>
      </c>
      <c r="F36" s="133">
        <f t="shared" si="3"/>
        <v>545.1</v>
      </c>
      <c r="G36" s="135">
        <f t="shared" si="4"/>
        <v>18523.9</v>
      </c>
    </row>
    <row r="37" ht="14.25" customHeight="1">
      <c r="A37" s="131">
        <v>33.0</v>
      </c>
      <c r="B37" s="132">
        <v>46933.0</v>
      </c>
      <c r="C37" s="146"/>
      <c r="D37" s="135">
        <f t="shared" si="1"/>
        <v>185.2</v>
      </c>
      <c r="E37" s="135">
        <f t="shared" si="2"/>
        <v>356.3</v>
      </c>
      <c r="F37" s="133">
        <f t="shared" si="3"/>
        <v>541.5</v>
      </c>
      <c r="G37" s="135">
        <f t="shared" si="4"/>
        <v>18167.6</v>
      </c>
    </row>
    <row r="38" ht="14.25" customHeight="1">
      <c r="A38" s="131">
        <v>34.0</v>
      </c>
      <c r="B38" s="132">
        <v>46963.0</v>
      </c>
      <c r="C38" s="146"/>
      <c r="D38" s="135">
        <f t="shared" si="1"/>
        <v>181.7</v>
      </c>
      <c r="E38" s="135">
        <f t="shared" si="2"/>
        <v>356.3</v>
      </c>
      <c r="F38" s="133">
        <f t="shared" si="3"/>
        <v>538</v>
      </c>
      <c r="G38" s="135">
        <f t="shared" si="4"/>
        <v>17811.3</v>
      </c>
    </row>
    <row r="39" ht="14.25" customHeight="1">
      <c r="A39" s="131">
        <v>35.0</v>
      </c>
      <c r="B39" s="132">
        <v>46994.0</v>
      </c>
      <c r="C39" s="146"/>
      <c r="D39" s="135">
        <f t="shared" si="1"/>
        <v>178.1</v>
      </c>
      <c r="E39" s="135">
        <f t="shared" si="2"/>
        <v>356.3</v>
      </c>
      <c r="F39" s="133">
        <f t="shared" si="3"/>
        <v>534.4</v>
      </c>
      <c r="G39" s="135">
        <f t="shared" si="4"/>
        <v>17455</v>
      </c>
    </row>
    <row r="40" ht="14.25" customHeight="1">
      <c r="A40" s="131">
        <v>36.0</v>
      </c>
      <c r="B40" s="132">
        <v>47025.0</v>
      </c>
      <c r="C40" s="146"/>
      <c r="D40" s="135">
        <f t="shared" si="1"/>
        <v>174.6</v>
      </c>
      <c r="E40" s="135">
        <f t="shared" si="2"/>
        <v>356.3</v>
      </c>
      <c r="F40" s="133">
        <f t="shared" si="3"/>
        <v>530.9</v>
      </c>
      <c r="G40" s="135">
        <f t="shared" si="4"/>
        <v>17098.7</v>
      </c>
    </row>
    <row r="41" ht="14.25" customHeight="1">
      <c r="A41" s="131">
        <v>37.0</v>
      </c>
      <c r="B41" s="132">
        <v>47055.0</v>
      </c>
      <c r="C41" s="146"/>
      <c r="D41" s="135">
        <f t="shared" si="1"/>
        <v>171</v>
      </c>
      <c r="E41" s="135">
        <f t="shared" si="2"/>
        <v>356.3</v>
      </c>
      <c r="F41" s="133">
        <f t="shared" si="3"/>
        <v>527.3</v>
      </c>
      <c r="G41" s="135">
        <f t="shared" si="4"/>
        <v>16742.4</v>
      </c>
    </row>
    <row r="42" ht="14.25" customHeight="1">
      <c r="A42" s="131">
        <v>38.0</v>
      </c>
      <c r="B42" s="132">
        <v>47086.0</v>
      </c>
      <c r="C42" s="146"/>
      <c r="D42" s="135">
        <f t="shared" si="1"/>
        <v>167.4</v>
      </c>
      <c r="E42" s="135">
        <f t="shared" si="2"/>
        <v>356.3</v>
      </c>
      <c r="F42" s="133">
        <f t="shared" si="3"/>
        <v>523.7</v>
      </c>
      <c r="G42" s="135">
        <f t="shared" si="4"/>
        <v>16386.1</v>
      </c>
    </row>
    <row r="43" ht="14.25" customHeight="1">
      <c r="A43" s="131">
        <v>39.0</v>
      </c>
      <c r="B43" s="132">
        <v>47116.0</v>
      </c>
      <c r="C43" s="146"/>
      <c r="D43" s="135">
        <f t="shared" si="1"/>
        <v>163.9</v>
      </c>
      <c r="E43" s="135">
        <f t="shared" si="2"/>
        <v>356.3</v>
      </c>
      <c r="F43" s="133">
        <f t="shared" si="3"/>
        <v>520.2</v>
      </c>
      <c r="G43" s="135">
        <f t="shared" si="4"/>
        <v>16029.8</v>
      </c>
    </row>
    <row r="44" ht="14.25" customHeight="1">
      <c r="A44" s="131">
        <v>40.0</v>
      </c>
      <c r="B44" s="132">
        <v>47147.0</v>
      </c>
      <c r="C44" s="146"/>
      <c r="D44" s="135">
        <f t="shared" si="1"/>
        <v>160.3</v>
      </c>
      <c r="E44" s="135">
        <f t="shared" si="2"/>
        <v>356.3</v>
      </c>
      <c r="F44" s="133">
        <f t="shared" si="3"/>
        <v>516.6</v>
      </c>
      <c r="G44" s="135">
        <f t="shared" si="4"/>
        <v>15673.5</v>
      </c>
    </row>
    <row r="45" ht="14.25" customHeight="1">
      <c r="A45" s="131">
        <v>41.0</v>
      </c>
      <c r="B45" s="132">
        <v>47177.0</v>
      </c>
      <c r="C45" s="146"/>
      <c r="D45" s="135">
        <f t="shared" si="1"/>
        <v>156.7</v>
      </c>
      <c r="E45" s="135">
        <f t="shared" si="2"/>
        <v>356.3</v>
      </c>
      <c r="F45" s="133">
        <f t="shared" si="3"/>
        <v>513</v>
      </c>
      <c r="G45" s="135">
        <f t="shared" si="4"/>
        <v>15317.2</v>
      </c>
    </row>
    <row r="46" ht="14.25" customHeight="1">
      <c r="A46" s="131">
        <v>42.0</v>
      </c>
      <c r="B46" s="132">
        <v>47206.0</v>
      </c>
      <c r="C46" s="146"/>
      <c r="D46" s="135">
        <f t="shared" si="1"/>
        <v>153.2</v>
      </c>
      <c r="E46" s="135">
        <f t="shared" si="2"/>
        <v>356.3</v>
      </c>
      <c r="F46" s="133">
        <f t="shared" si="3"/>
        <v>509.5</v>
      </c>
      <c r="G46" s="135">
        <f t="shared" si="4"/>
        <v>14960.9</v>
      </c>
    </row>
    <row r="47" ht="14.25" customHeight="1">
      <c r="A47" s="131">
        <v>43.0</v>
      </c>
      <c r="B47" s="132">
        <v>47237.0</v>
      </c>
      <c r="C47" s="146"/>
      <c r="D47" s="135">
        <f t="shared" si="1"/>
        <v>149.6</v>
      </c>
      <c r="E47" s="135">
        <f t="shared" si="2"/>
        <v>356.3</v>
      </c>
      <c r="F47" s="133">
        <f t="shared" si="3"/>
        <v>505.9</v>
      </c>
      <c r="G47" s="135">
        <f t="shared" si="4"/>
        <v>14604.6</v>
      </c>
    </row>
    <row r="48" ht="14.25" customHeight="1">
      <c r="A48" s="131">
        <v>44.0</v>
      </c>
      <c r="B48" s="132">
        <v>47267.0</v>
      </c>
      <c r="C48" s="146"/>
      <c r="D48" s="135">
        <f t="shared" si="1"/>
        <v>146</v>
      </c>
      <c r="E48" s="135">
        <f t="shared" si="2"/>
        <v>356.3</v>
      </c>
      <c r="F48" s="133">
        <f t="shared" si="3"/>
        <v>502.3</v>
      </c>
      <c r="G48" s="135">
        <f t="shared" si="4"/>
        <v>14248.3</v>
      </c>
    </row>
    <row r="49" ht="14.25" customHeight="1">
      <c r="A49" s="131">
        <v>45.0</v>
      </c>
      <c r="B49" s="132">
        <v>47298.0</v>
      </c>
      <c r="C49" s="146"/>
      <c r="D49" s="135">
        <f t="shared" si="1"/>
        <v>142.5</v>
      </c>
      <c r="E49" s="135">
        <f t="shared" si="2"/>
        <v>356.3</v>
      </c>
      <c r="F49" s="133">
        <f t="shared" si="3"/>
        <v>498.8</v>
      </c>
      <c r="G49" s="135">
        <f t="shared" si="4"/>
        <v>13892</v>
      </c>
    </row>
    <row r="50" ht="14.25" customHeight="1">
      <c r="A50" s="131">
        <v>46.0</v>
      </c>
      <c r="B50" s="132">
        <v>47328.0</v>
      </c>
      <c r="C50" s="146"/>
      <c r="D50" s="135">
        <f t="shared" si="1"/>
        <v>138.9</v>
      </c>
      <c r="E50" s="135">
        <f t="shared" si="2"/>
        <v>356.3</v>
      </c>
      <c r="F50" s="133">
        <f t="shared" si="3"/>
        <v>495.2</v>
      </c>
      <c r="G50" s="135">
        <f t="shared" si="4"/>
        <v>13535.7</v>
      </c>
    </row>
    <row r="51" ht="14.25" customHeight="1">
      <c r="A51" s="131">
        <v>47.0</v>
      </c>
      <c r="B51" s="132">
        <v>47359.0</v>
      </c>
      <c r="C51" s="146"/>
      <c r="D51" s="135">
        <f t="shared" si="1"/>
        <v>135.4</v>
      </c>
      <c r="E51" s="135">
        <f t="shared" si="2"/>
        <v>356.3</v>
      </c>
      <c r="F51" s="133">
        <f t="shared" si="3"/>
        <v>491.7</v>
      </c>
      <c r="G51" s="135">
        <f t="shared" si="4"/>
        <v>13179.4</v>
      </c>
    </row>
    <row r="52" ht="14.25" customHeight="1">
      <c r="A52" s="131">
        <v>48.0</v>
      </c>
      <c r="B52" s="132">
        <v>47390.0</v>
      </c>
      <c r="C52" s="146"/>
      <c r="D52" s="135">
        <f t="shared" si="1"/>
        <v>131.8</v>
      </c>
      <c r="E52" s="135">
        <f t="shared" si="2"/>
        <v>356.3</v>
      </c>
      <c r="F52" s="133">
        <f t="shared" si="3"/>
        <v>488.1</v>
      </c>
      <c r="G52" s="135">
        <f t="shared" si="4"/>
        <v>12823.1</v>
      </c>
    </row>
    <row r="53" ht="14.25" customHeight="1">
      <c r="A53" s="131">
        <v>49.0</v>
      </c>
      <c r="B53" s="132">
        <v>47420.0</v>
      </c>
      <c r="C53" s="146"/>
      <c r="D53" s="135">
        <f t="shared" si="1"/>
        <v>128.2</v>
      </c>
      <c r="E53" s="135">
        <f t="shared" si="2"/>
        <v>356.3</v>
      </c>
      <c r="F53" s="133">
        <f t="shared" si="3"/>
        <v>484.5</v>
      </c>
      <c r="G53" s="135">
        <f t="shared" si="4"/>
        <v>12466.8</v>
      </c>
    </row>
    <row r="54" ht="14.25" customHeight="1">
      <c r="A54" s="131">
        <v>50.0</v>
      </c>
      <c r="B54" s="132">
        <v>47451.0</v>
      </c>
      <c r="C54" s="146"/>
      <c r="D54" s="135">
        <f t="shared" si="1"/>
        <v>124.7</v>
      </c>
      <c r="E54" s="135">
        <f t="shared" si="2"/>
        <v>356.3</v>
      </c>
      <c r="F54" s="133">
        <f t="shared" si="3"/>
        <v>481</v>
      </c>
      <c r="G54" s="135">
        <f t="shared" si="4"/>
        <v>12110.5</v>
      </c>
    </row>
    <row r="55" ht="14.25" customHeight="1">
      <c r="A55" s="131">
        <v>51.0</v>
      </c>
      <c r="B55" s="132">
        <v>47481.0</v>
      </c>
      <c r="C55" s="146"/>
      <c r="D55" s="135">
        <f t="shared" si="1"/>
        <v>121.1</v>
      </c>
      <c r="E55" s="135">
        <f t="shared" si="2"/>
        <v>356.3</v>
      </c>
      <c r="F55" s="133">
        <f t="shared" si="3"/>
        <v>477.4</v>
      </c>
      <c r="G55" s="135">
        <f t="shared" si="4"/>
        <v>11754.2</v>
      </c>
    </row>
    <row r="56" ht="14.25" customHeight="1">
      <c r="A56" s="131">
        <v>52.0</v>
      </c>
      <c r="B56" s="132">
        <v>47512.0</v>
      </c>
      <c r="C56" s="146"/>
      <c r="D56" s="135">
        <f t="shared" si="1"/>
        <v>117.5</v>
      </c>
      <c r="E56" s="135">
        <f t="shared" si="2"/>
        <v>356.3</v>
      </c>
      <c r="F56" s="133">
        <f t="shared" si="3"/>
        <v>473.8</v>
      </c>
      <c r="G56" s="135">
        <f t="shared" si="4"/>
        <v>11397.9</v>
      </c>
    </row>
    <row r="57" ht="14.25" customHeight="1">
      <c r="A57" s="131">
        <v>53.0</v>
      </c>
      <c r="B57" s="132">
        <v>47542.0</v>
      </c>
      <c r="C57" s="146"/>
      <c r="D57" s="135">
        <f t="shared" si="1"/>
        <v>114</v>
      </c>
      <c r="E57" s="135">
        <f t="shared" si="2"/>
        <v>356.3</v>
      </c>
      <c r="F57" s="133">
        <f t="shared" si="3"/>
        <v>470.3</v>
      </c>
      <c r="G57" s="135">
        <f t="shared" si="4"/>
        <v>11041.6</v>
      </c>
    </row>
    <row r="58" ht="14.25" customHeight="1">
      <c r="A58" s="131">
        <v>54.0</v>
      </c>
      <c r="B58" s="132">
        <v>47571.0</v>
      </c>
      <c r="C58" s="146"/>
      <c r="D58" s="135">
        <f t="shared" si="1"/>
        <v>110.4</v>
      </c>
      <c r="E58" s="135">
        <f t="shared" si="2"/>
        <v>356.3</v>
      </c>
      <c r="F58" s="133">
        <f t="shared" si="3"/>
        <v>466.7</v>
      </c>
      <c r="G58" s="135">
        <f t="shared" si="4"/>
        <v>10685.3</v>
      </c>
    </row>
    <row r="59" ht="14.25" customHeight="1">
      <c r="A59" s="131">
        <v>55.0</v>
      </c>
      <c r="B59" s="132">
        <v>47602.0</v>
      </c>
      <c r="C59" s="146"/>
      <c r="D59" s="135">
        <f t="shared" si="1"/>
        <v>106.9</v>
      </c>
      <c r="E59" s="135">
        <f t="shared" si="2"/>
        <v>356.3</v>
      </c>
      <c r="F59" s="133">
        <f t="shared" si="3"/>
        <v>463.2</v>
      </c>
      <c r="G59" s="135">
        <f t="shared" si="4"/>
        <v>10329</v>
      </c>
    </row>
    <row r="60" ht="14.25" customHeight="1">
      <c r="A60" s="131">
        <v>56.0</v>
      </c>
      <c r="B60" s="132">
        <v>47632.0</v>
      </c>
      <c r="C60" s="146"/>
      <c r="D60" s="135">
        <f t="shared" si="1"/>
        <v>103.3</v>
      </c>
      <c r="E60" s="135">
        <f t="shared" si="2"/>
        <v>356.3</v>
      </c>
      <c r="F60" s="133">
        <f t="shared" si="3"/>
        <v>459.6</v>
      </c>
      <c r="G60" s="135">
        <f t="shared" si="4"/>
        <v>9972.7</v>
      </c>
    </row>
    <row r="61" ht="14.25" customHeight="1">
      <c r="A61" s="131">
        <v>57.0</v>
      </c>
      <c r="B61" s="132">
        <v>47663.0</v>
      </c>
      <c r="C61" s="146"/>
      <c r="D61" s="135">
        <f t="shared" si="1"/>
        <v>99.7</v>
      </c>
      <c r="E61" s="135">
        <f t="shared" si="2"/>
        <v>356.3</v>
      </c>
      <c r="F61" s="133">
        <f t="shared" si="3"/>
        <v>456</v>
      </c>
      <c r="G61" s="135">
        <f t="shared" si="4"/>
        <v>9616.4</v>
      </c>
    </row>
    <row r="62" ht="14.25" customHeight="1">
      <c r="A62" s="131">
        <v>58.0</v>
      </c>
      <c r="B62" s="132">
        <v>47693.0</v>
      </c>
      <c r="C62" s="146"/>
      <c r="D62" s="135">
        <f t="shared" si="1"/>
        <v>96.2</v>
      </c>
      <c r="E62" s="135">
        <f t="shared" si="2"/>
        <v>356.3</v>
      </c>
      <c r="F62" s="133">
        <f t="shared" si="3"/>
        <v>452.5</v>
      </c>
      <c r="G62" s="135">
        <f t="shared" si="4"/>
        <v>9260.1</v>
      </c>
    </row>
    <row r="63" ht="14.25" customHeight="1">
      <c r="A63" s="131">
        <v>59.0</v>
      </c>
      <c r="B63" s="132">
        <v>47724.0</v>
      </c>
      <c r="C63" s="146"/>
      <c r="D63" s="135">
        <f t="shared" si="1"/>
        <v>92.6</v>
      </c>
      <c r="E63" s="135">
        <f t="shared" si="2"/>
        <v>356.3</v>
      </c>
      <c r="F63" s="133">
        <f t="shared" si="3"/>
        <v>448.9</v>
      </c>
      <c r="G63" s="135">
        <f t="shared" si="4"/>
        <v>8903.8</v>
      </c>
    </row>
    <row r="64" ht="14.25" customHeight="1">
      <c r="A64" s="131">
        <v>60.0</v>
      </c>
      <c r="B64" s="132">
        <v>47755.0</v>
      </c>
      <c r="C64" s="146"/>
      <c r="D64" s="135">
        <f t="shared" si="1"/>
        <v>89</v>
      </c>
      <c r="E64" s="135">
        <f t="shared" si="2"/>
        <v>356.3</v>
      </c>
      <c r="F64" s="133">
        <f t="shared" si="3"/>
        <v>445.3</v>
      </c>
      <c r="G64" s="135">
        <f t="shared" si="4"/>
        <v>8547.5</v>
      </c>
    </row>
    <row r="65" ht="14.25" customHeight="1">
      <c r="A65" s="131">
        <v>61.0</v>
      </c>
      <c r="B65" s="132">
        <v>47785.0</v>
      </c>
      <c r="C65" s="146"/>
      <c r="D65" s="135">
        <f t="shared" si="1"/>
        <v>85.5</v>
      </c>
      <c r="E65" s="135">
        <f t="shared" si="2"/>
        <v>356.3</v>
      </c>
      <c r="F65" s="133">
        <f t="shared" si="3"/>
        <v>441.8</v>
      </c>
      <c r="G65" s="135">
        <f t="shared" si="4"/>
        <v>8191.2</v>
      </c>
    </row>
    <row r="66" ht="14.25" customHeight="1">
      <c r="A66" s="131">
        <v>62.0</v>
      </c>
      <c r="B66" s="132">
        <v>47816.0</v>
      </c>
      <c r="C66" s="146"/>
      <c r="D66" s="135">
        <f t="shared" si="1"/>
        <v>81.9</v>
      </c>
      <c r="E66" s="135">
        <f t="shared" si="2"/>
        <v>356.3</v>
      </c>
      <c r="F66" s="133">
        <f t="shared" si="3"/>
        <v>438.2</v>
      </c>
      <c r="G66" s="135">
        <f t="shared" si="4"/>
        <v>7834.9</v>
      </c>
    </row>
    <row r="67" ht="14.25" customHeight="1">
      <c r="A67" s="131">
        <v>63.0</v>
      </c>
      <c r="B67" s="132">
        <v>47846.0</v>
      </c>
      <c r="C67" s="146"/>
      <c r="D67" s="135">
        <f t="shared" si="1"/>
        <v>78.3</v>
      </c>
      <c r="E67" s="135">
        <f t="shared" si="2"/>
        <v>356.3</v>
      </c>
      <c r="F67" s="133">
        <f t="shared" si="3"/>
        <v>434.6</v>
      </c>
      <c r="G67" s="135">
        <f t="shared" si="4"/>
        <v>7478.6</v>
      </c>
    </row>
    <row r="68" ht="14.25" customHeight="1">
      <c r="A68" s="131">
        <v>64.0</v>
      </c>
      <c r="B68" s="132">
        <v>47877.0</v>
      </c>
      <c r="C68" s="146"/>
      <c r="D68" s="135">
        <f t="shared" si="1"/>
        <v>74.8</v>
      </c>
      <c r="E68" s="135">
        <f t="shared" si="2"/>
        <v>356.3</v>
      </c>
      <c r="F68" s="133">
        <f t="shared" si="3"/>
        <v>431.1</v>
      </c>
      <c r="G68" s="135">
        <f t="shared" si="4"/>
        <v>7122.3</v>
      </c>
    </row>
    <row r="69" ht="14.25" customHeight="1">
      <c r="A69" s="131">
        <v>65.0</v>
      </c>
      <c r="B69" s="132">
        <v>47907.0</v>
      </c>
      <c r="C69" s="146"/>
      <c r="D69" s="135">
        <f t="shared" si="1"/>
        <v>71.2</v>
      </c>
      <c r="E69" s="135">
        <f t="shared" si="2"/>
        <v>356.3</v>
      </c>
      <c r="F69" s="133">
        <f t="shared" si="3"/>
        <v>427.5</v>
      </c>
      <c r="G69" s="135">
        <f t="shared" si="4"/>
        <v>6766</v>
      </c>
    </row>
    <row r="70" ht="14.25" customHeight="1">
      <c r="A70" s="131">
        <v>66.0</v>
      </c>
      <c r="B70" s="132">
        <v>47936.0</v>
      </c>
      <c r="C70" s="146"/>
      <c r="D70" s="135">
        <f t="shared" si="1"/>
        <v>67.7</v>
      </c>
      <c r="E70" s="135">
        <f t="shared" si="2"/>
        <v>356.3</v>
      </c>
      <c r="F70" s="133">
        <f t="shared" si="3"/>
        <v>424</v>
      </c>
      <c r="G70" s="135">
        <f t="shared" si="4"/>
        <v>6409.7</v>
      </c>
    </row>
    <row r="71" ht="14.25" customHeight="1">
      <c r="A71" s="131">
        <v>67.0</v>
      </c>
      <c r="B71" s="132">
        <v>47967.0</v>
      </c>
      <c r="C71" s="146"/>
      <c r="D71" s="135">
        <f t="shared" si="1"/>
        <v>64.1</v>
      </c>
      <c r="E71" s="135">
        <f t="shared" si="2"/>
        <v>356.3</v>
      </c>
      <c r="F71" s="133">
        <f t="shared" si="3"/>
        <v>420.4</v>
      </c>
      <c r="G71" s="135">
        <f t="shared" si="4"/>
        <v>6053.4</v>
      </c>
    </row>
    <row r="72" ht="14.25" customHeight="1">
      <c r="A72" s="131">
        <v>68.0</v>
      </c>
      <c r="B72" s="132">
        <v>47997.0</v>
      </c>
      <c r="C72" s="146"/>
      <c r="D72" s="135">
        <f t="shared" si="1"/>
        <v>60.5</v>
      </c>
      <c r="E72" s="135">
        <f t="shared" si="2"/>
        <v>356.3</v>
      </c>
      <c r="F72" s="133">
        <f t="shared" si="3"/>
        <v>416.8</v>
      </c>
      <c r="G72" s="135">
        <f t="shared" si="4"/>
        <v>5697.1</v>
      </c>
    </row>
    <row r="73" ht="14.25" customHeight="1">
      <c r="A73" s="131">
        <v>69.0</v>
      </c>
      <c r="B73" s="132">
        <v>48028.0</v>
      </c>
      <c r="C73" s="146"/>
      <c r="D73" s="135">
        <f t="shared" si="1"/>
        <v>57</v>
      </c>
      <c r="E73" s="135">
        <f t="shared" si="2"/>
        <v>356.3</v>
      </c>
      <c r="F73" s="133">
        <f t="shared" si="3"/>
        <v>413.3</v>
      </c>
      <c r="G73" s="135">
        <f t="shared" si="4"/>
        <v>5340.8</v>
      </c>
    </row>
    <row r="74" ht="14.25" customHeight="1">
      <c r="A74" s="131">
        <v>70.0</v>
      </c>
      <c r="B74" s="132">
        <v>48058.0</v>
      </c>
      <c r="C74" s="146"/>
      <c r="D74" s="135">
        <f t="shared" si="1"/>
        <v>53.4</v>
      </c>
      <c r="E74" s="135">
        <f t="shared" si="2"/>
        <v>356.3</v>
      </c>
      <c r="F74" s="133">
        <f t="shared" si="3"/>
        <v>409.7</v>
      </c>
      <c r="G74" s="135">
        <f t="shared" si="4"/>
        <v>4984.5</v>
      </c>
    </row>
    <row r="75" ht="14.25" customHeight="1">
      <c r="A75" s="131">
        <v>71.0</v>
      </c>
      <c r="B75" s="132">
        <v>48089.0</v>
      </c>
      <c r="C75" s="146"/>
      <c r="D75" s="135">
        <f t="shared" si="1"/>
        <v>49.8</v>
      </c>
      <c r="E75" s="135">
        <f t="shared" si="2"/>
        <v>356.3</v>
      </c>
      <c r="F75" s="133">
        <f t="shared" si="3"/>
        <v>406.1</v>
      </c>
      <c r="G75" s="135">
        <f t="shared" si="4"/>
        <v>4628.2</v>
      </c>
    </row>
    <row r="76" ht="14.25" customHeight="1">
      <c r="A76" s="131">
        <v>72.0</v>
      </c>
      <c r="B76" s="132">
        <v>48120.0</v>
      </c>
      <c r="C76" s="146"/>
      <c r="D76" s="135">
        <f t="shared" si="1"/>
        <v>46.3</v>
      </c>
      <c r="E76" s="135">
        <f t="shared" si="2"/>
        <v>356.3</v>
      </c>
      <c r="F76" s="133">
        <f t="shared" si="3"/>
        <v>402.6</v>
      </c>
      <c r="G76" s="135">
        <f t="shared" si="4"/>
        <v>4271.9</v>
      </c>
    </row>
    <row r="77" ht="14.25" customHeight="1">
      <c r="A77" s="131">
        <v>73.0</v>
      </c>
      <c r="B77" s="132">
        <v>48150.0</v>
      </c>
      <c r="C77" s="146"/>
      <c r="D77" s="135">
        <f t="shared" si="1"/>
        <v>42.7</v>
      </c>
      <c r="E77" s="135">
        <f t="shared" si="2"/>
        <v>356.3</v>
      </c>
      <c r="F77" s="133">
        <f t="shared" si="3"/>
        <v>399</v>
      </c>
      <c r="G77" s="135">
        <f t="shared" si="4"/>
        <v>3915.6</v>
      </c>
    </row>
    <row r="78" ht="14.25" customHeight="1">
      <c r="A78" s="131">
        <v>74.0</v>
      </c>
      <c r="B78" s="132">
        <v>48181.0</v>
      </c>
      <c r="C78" s="146"/>
      <c r="D78" s="135">
        <f t="shared" si="1"/>
        <v>39.2</v>
      </c>
      <c r="E78" s="135">
        <f t="shared" si="2"/>
        <v>356.3</v>
      </c>
      <c r="F78" s="133">
        <f t="shared" si="3"/>
        <v>395.5</v>
      </c>
      <c r="G78" s="135">
        <f t="shared" si="4"/>
        <v>3559.3</v>
      </c>
    </row>
    <row r="79" ht="14.25" customHeight="1">
      <c r="A79" s="131">
        <v>75.0</v>
      </c>
      <c r="B79" s="132">
        <v>48211.0</v>
      </c>
      <c r="C79" s="146"/>
      <c r="D79" s="135">
        <f t="shared" si="1"/>
        <v>35.6</v>
      </c>
      <c r="E79" s="135">
        <f t="shared" si="2"/>
        <v>356.3</v>
      </c>
      <c r="F79" s="133">
        <f t="shared" si="3"/>
        <v>391.9</v>
      </c>
      <c r="G79" s="135">
        <f t="shared" si="4"/>
        <v>3203</v>
      </c>
    </row>
    <row r="80" ht="14.25" customHeight="1">
      <c r="A80" s="131">
        <v>76.0</v>
      </c>
      <c r="B80" s="132">
        <v>48242.0</v>
      </c>
      <c r="C80" s="146"/>
      <c r="D80" s="135">
        <f t="shared" si="1"/>
        <v>32</v>
      </c>
      <c r="E80" s="135">
        <f t="shared" si="2"/>
        <v>356.3</v>
      </c>
      <c r="F80" s="133">
        <f t="shared" si="3"/>
        <v>388.3</v>
      </c>
      <c r="G80" s="135">
        <f t="shared" si="4"/>
        <v>2846.7</v>
      </c>
    </row>
    <row r="81" ht="14.25" customHeight="1">
      <c r="A81" s="131">
        <v>77.0</v>
      </c>
      <c r="B81" s="132">
        <v>48273.0</v>
      </c>
      <c r="C81" s="146"/>
      <c r="D81" s="135">
        <f t="shared" si="1"/>
        <v>28.5</v>
      </c>
      <c r="E81" s="135">
        <f t="shared" si="2"/>
        <v>356.3</v>
      </c>
      <c r="F81" s="133">
        <f t="shared" si="3"/>
        <v>384.8</v>
      </c>
      <c r="G81" s="135">
        <f t="shared" si="4"/>
        <v>2490.4</v>
      </c>
    </row>
    <row r="82" ht="14.25" customHeight="1">
      <c r="A82" s="131">
        <v>78.0</v>
      </c>
      <c r="B82" s="132">
        <v>48302.0</v>
      </c>
      <c r="C82" s="146"/>
      <c r="D82" s="135">
        <f t="shared" si="1"/>
        <v>24.9</v>
      </c>
      <c r="E82" s="135">
        <f t="shared" si="2"/>
        <v>356.3</v>
      </c>
      <c r="F82" s="133">
        <f t="shared" si="3"/>
        <v>381.2</v>
      </c>
      <c r="G82" s="135">
        <f t="shared" si="4"/>
        <v>2134.1</v>
      </c>
    </row>
    <row r="83" ht="14.25" customHeight="1">
      <c r="A83" s="131">
        <v>79.0</v>
      </c>
      <c r="B83" s="132">
        <v>48333.0</v>
      </c>
      <c r="C83" s="146"/>
      <c r="D83" s="135">
        <f t="shared" si="1"/>
        <v>21.3</v>
      </c>
      <c r="E83" s="135">
        <f t="shared" si="2"/>
        <v>356.3</v>
      </c>
      <c r="F83" s="133">
        <f t="shared" si="3"/>
        <v>377.6</v>
      </c>
      <c r="G83" s="135">
        <f t="shared" si="4"/>
        <v>1777.8</v>
      </c>
    </row>
    <row r="84" ht="14.25" customHeight="1">
      <c r="A84" s="131">
        <v>80.0</v>
      </c>
      <c r="B84" s="132">
        <v>48363.0</v>
      </c>
      <c r="C84" s="146"/>
      <c r="D84" s="135">
        <f t="shared" si="1"/>
        <v>17.8</v>
      </c>
      <c r="E84" s="135">
        <f t="shared" si="2"/>
        <v>356.3</v>
      </c>
      <c r="F84" s="133">
        <f t="shared" si="3"/>
        <v>374.1</v>
      </c>
      <c r="G84" s="135">
        <f t="shared" si="4"/>
        <v>1421.5</v>
      </c>
    </row>
    <row r="85" ht="14.25" customHeight="1">
      <c r="A85" s="131">
        <v>81.0</v>
      </c>
      <c r="B85" s="132">
        <v>48394.0</v>
      </c>
      <c r="C85" s="146"/>
      <c r="D85" s="135">
        <f t="shared" si="1"/>
        <v>14.2</v>
      </c>
      <c r="E85" s="135">
        <f t="shared" si="2"/>
        <v>356.3</v>
      </c>
      <c r="F85" s="133">
        <f t="shared" si="3"/>
        <v>370.5</v>
      </c>
      <c r="G85" s="135">
        <f t="shared" si="4"/>
        <v>1065.2</v>
      </c>
    </row>
    <row r="86" ht="14.25" customHeight="1">
      <c r="A86" s="131">
        <v>82.0</v>
      </c>
      <c r="B86" s="132">
        <v>48424.0</v>
      </c>
      <c r="C86" s="146"/>
      <c r="D86" s="135">
        <f t="shared" si="1"/>
        <v>10.7</v>
      </c>
      <c r="E86" s="135">
        <f t="shared" si="2"/>
        <v>356.3</v>
      </c>
      <c r="F86" s="133">
        <f t="shared" si="3"/>
        <v>367</v>
      </c>
      <c r="G86" s="135">
        <f t="shared" si="4"/>
        <v>708.9</v>
      </c>
    </row>
    <row r="87" ht="14.25" customHeight="1">
      <c r="A87" s="131">
        <v>83.0</v>
      </c>
      <c r="B87" s="132">
        <v>48455.0</v>
      </c>
      <c r="C87" s="146"/>
      <c r="D87" s="135">
        <f t="shared" si="1"/>
        <v>7.1</v>
      </c>
      <c r="E87" s="135">
        <f t="shared" si="2"/>
        <v>356.3</v>
      </c>
      <c r="F87" s="133">
        <f t="shared" si="3"/>
        <v>363.4</v>
      </c>
      <c r="G87" s="135">
        <f t="shared" si="4"/>
        <v>352.6</v>
      </c>
    </row>
    <row r="88" ht="14.25" customHeight="1">
      <c r="A88" s="131">
        <v>84.0</v>
      </c>
      <c r="B88" s="132">
        <v>48486.0</v>
      </c>
      <c r="C88" s="146"/>
      <c r="D88" s="135">
        <f t="shared" si="1"/>
        <v>3.5</v>
      </c>
      <c r="E88" s="135">
        <f>ROUNDUP($C$4/84,1)-3.7</f>
        <v>352.6</v>
      </c>
      <c r="F88" s="133">
        <f t="shared" si="3"/>
        <v>356.1</v>
      </c>
      <c r="G88" s="135">
        <f t="shared" si="4"/>
        <v>0</v>
      </c>
    </row>
    <row r="89" ht="14.25" customHeight="1">
      <c r="A89" s="129" t="s">
        <v>252</v>
      </c>
      <c r="B89" s="2"/>
      <c r="C89" s="3"/>
      <c r="D89" s="147">
        <f t="shared" ref="D89:F89" si="5">+SUM(D5:D88)</f>
        <v>12716.9</v>
      </c>
      <c r="E89" s="147">
        <f t="shared" si="5"/>
        <v>29925.5</v>
      </c>
      <c r="F89" s="147">
        <f t="shared" si="5"/>
        <v>42642.4</v>
      </c>
      <c r="G89" s="148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28" t="s">
        <v>381</v>
      </c>
      <c r="B1" s="2"/>
      <c r="C1" s="2"/>
      <c r="D1" s="2"/>
      <c r="E1" s="2"/>
      <c r="F1" s="2"/>
      <c r="G1" s="3"/>
    </row>
    <row r="2" ht="14.25" customHeight="1">
      <c r="A2" s="129" t="s">
        <v>382</v>
      </c>
      <c r="B2" s="2"/>
      <c r="C2" s="2"/>
      <c r="D2" s="2"/>
      <c r="E2" s="2"/>
      <c r="F2" s="2"/>
      <c r="G2" s="3"/>
    </row>
    <row r="3" ht="59.25" customHeight="1">
      <c r="A3" s="130" t="s">
        <v>326</v>
      </c>
      <c r="B3" s="130" t="s">
        <v>256</v>
      </c>
      <c r="C3" s="130" t="s">
        <v>327</v>
      </c>
      <c r="D3" s="130" t="s">
        <v>328</v>
      </c>
      <c r="E3" s="130" t="s">
        <v>329</v>
      </c>
      <c r="F3" s="130" t="s">
        <v>330</v>
      </c>
      <c r="G3" s="130" t="s">
        <v>209</v>
      </c>
    </row>
    <row r="4" ht="14.25" customHeight="1">
      <c r="A4" s="131">
        <v>0.0</v>
      </c>
      <c r="B4" s="132">
        <v>45686.0</v>
      </c>
      <c r="C4" s="133">
        <f>+J7</f>
        <v>21465.1</v>
      </c>
      <c r="D4" s="134">
        <v>0.01</v>
      </c>
      <c r="E4" s="135"/>
      <c r="F4" s="135"/>
      <c r="G4" s="135">
        <f>+C4</f>
        <v>21465.1</v>
      </c>
    </row>
    <row r="5" ht="14.25" customHeight="1">
      <c r="A5" s="136">
        <v>1.0</v>
      </c>
      <c r="B5" s="137">
        <v>45716.0</v>
      </c>
      <c r="C5" s="138"/>
      <c r="D5" s="138">
        <f t="shared" ref="D5:D40" si="1">+ROUND(G4*0.01,1)</f>
        <v>214.7</v>
      </c>
      <c r="E5" s="138">
        <f t="shared" ref="E5:E39" si="2">ROUNDUP($C$4/36,1)</f>
        <v>596.3</v>
      </c>
      <c r="F5" s="139">
        <f t="shared" ref="F5:F40" si="3">+ROUND(D5+E5,1)</f>
        <v>811</v>
      </c>
      <c r="G5" s="138">
        <f t="shared" ref="G5:G40" si="4">+ROUND(G4-E5,1)</f>
        <v>20868.8</v>
      </c>
      <c r="I5" s="140" t="s">
        <v>209</v>
      </c>
      <c r="J5" s="141">
        <v>18406.6</v>
      </c>
    </row>
    <row r="6" ht="14.25" customHeight="1">
      <c r="A6" s="136">
        <v>2.0</v>
      </c>
      <c r="B6" s="137">
        <v>45745.0</v>
      </c>
      <c r="C6" s="144"/>
      <c r="D6" s="138">
        <f t="shared" si="1"/>
        <v>208.7</v>
      </c>
      <c r="E6" s="138">
        <f t="shared" si="2"/>
        <v>596.3</v>
      </c>
      <c r="F6" s="139">
        <f t="shared" si="3"/>
        <v>805</v>
      </c>
      <c r="G6" s="138">
        <f t="shared" si="4"/>
        <v>20272.5</v>
      </c>
      <c r="I6" s="140" t="s">
        <v>331</v>
      </c>
      <c r="J6" s="141">
        <v>3058.4999999999927</v>
      </c>
    </row>
    <row r="7" ht="14.25" customHeight="1">
      <c r="A7" s="136">
        <v>3.0</v>
      </c>
      <c r="B7" s="137">
        <v>45776.0</v>
      </c>
      <c r="C7" s="144"/>
      <c r="D7" s="138">
        <f t="shared" si="1"/>
        <v>202.7</v>
      </c>
      <c r="E7" s="138">
        <f t="shared" si="2"/>
        <v>596.3</v>
      </c>
      <c r="F7" s="139">
        <f t="shared" si="3"/>
        <v>799</v>
      </c>
      <c r="G7" s="138">
        <f t="shared" si="4"/>
        <v>19676.2</v>
      </c>
      <c r="I7" s="142" t="s">
        <v>252</v>
      </c>
      <c r="J7" s="143">
        <f>+SUM(J5:J6)</f>
        <v>21465.1</v>
      </c>
    </row>
    <row r="8" ht="14.25" customHeight="1">
      <c r="A8" s="136">
        <v>4.0</v>
      </c>
      <c r="B8" s="137">
        <v>45806.0</v>
      </c>
      <c r="C8" s="144"/>
      <c r="D8" s="138">
        <f t="shared" si="1"/>
        <v>196.8</v>
      </c>
      <c r="E8" s="138">
        <f t="shared" si="2"/>
        <v>596.3</v>
      </c>
      <c r="F8" s="139">
        <f t="shared" si="3"/>
        <v>793.1</v>
      </c>
      <c r="G8" s="138">
        <f t="shared" si="4"/>
        <v>19079.9</v>
      </c>
    </row>
    <row r="9" ht="14.25" customHeight="1">
      <c r="A9" s="136">
        <v>5.0</v>
      </c>
      <c r="B9" s="137">
        <v>45837.0</v>
      </c>
      <c r="C9" s="144"/>
      <c r="D9" s="138">
        <f t="shared" si="1"/>
        <v>190.8</v>
      </c>
      <c r="E9" s="138">
        <f t="shared" si="2"/>
        <v>596.3</v>
      </c>
      <c r="F9" s="139">
        <f t="shared" si="3"/>
        <v>787.1</v>
      </c>
      <c r="G9" s="138">
        <f t="shared" si="4"/>
        <v>18483.6</v>
      </c>
    </row>
    <row r="10" ht="14.25" customHeight="1">
      <c r="A10" s="136">
        <v>6.0</v>
      </c>
      <c r="B10" s="137">
        <v>45867.0</v>
      </c>
      <c r="C10" s="144"/>
      <c r="D10" s="138">
        <f t="shared" si="1"/>
        <v>184.8</v>
      </c>
      <c r="E10" s="138">
        <f t="shared" si="2"/>
        <v>596.3</v>
      </c>
      <c r="F10" s="139">
        <f t="shared" si="3"/>
        <v>781.1</v>
      </c>
      <c r="G10" s="138">
        <f t="shared" si="4"/>
        <v>17887.3</v>
      </c>
    </row>
    <row r="11" ht="14.25" customHeight="1">
      <c r="A11" s="136">
        <v>7.0</v>
      </c>
      <c r="B11" s="137">
        <v>45898.0</v>
      </c>
      <c r="C11" s="144"/>
      <c r="D11" s="138">
        <f t="shared" si="1"/>
        <v>178.9</v>
      </c>
      <c r="E11" s="138">
        <f t="shared" si="2"/>
        <v>596.3</v>
      </c>
      <c r="F11" s="139">
        <f t="shared" si="3"/>
        <v>775.2</v>
      </c>
      <c r="G11" s="138">
        <f t="shared" si="4"/>
        <v>17291</v>
      </c>
    </row>
    <row r="12" ht="14.25" customHeight="1">
      <c r="A12" s="136">
        <v>8.0</v>
      </c>
      <c r="B12" s="137">
        <v>45929.0</v>
      </c>
      <c r="C12" s="144"/>
      <c r="D12" s="138">
        <f t="shared" si="1"/>
        <v>172.9</v>
      </c>
      <c r="E12" s="138">
        <f t="shared" si="2"/>
        <v>596.3</v>
      </c>
      <c r="F12" s="139">
        <f t="shared" si="3"/>
        <v>769.2</v>
      </c>
      <c r="G12" s="138">
        <f t="shared" si="4"/>
        <v>16694.7</v>
      </c>
    </row>
    <row r="13" ht="14.25" customHeight="1">
      <c r="A13" s="136">
        <v>9.0</v>
      </c>
      <c r="B13" s="137">
        <v>45959.0</v>
      </c>
      <c r="C13" s="145"/>
      <c r="D13" s="138">
        <f t="shared" si="1"/>
        <v>166.9</v>
      </c>
      <c r="E13" s="138">
        <f t="shared" si="2"/>
        <v>596.3</v>
      </c>
      <c r="F13" s="139">
        <f t="shared" si="3"/>
        <v>763.2</v>
      </c>
      <c r="G13" s="138">
        <f t="shared" si="4"/>
        <v>16098.4</v>
      </c>
    </row>
    <row r="14" ht="14.25" customHeight="1">
      <c r="A14" s="136">
        <v>10.0</v>
      </c>
      <c r="B14" s="137">
        <v>45990.0</v>
      </c>
      <c r="C14" s="145"/>
      <c r="D14" s="138">
        <f t="shared" si="1"/>
        <v>161</v>
      </c>
      <c r="E14" s="138">
        <f t="shared" si="2"/>
        <v>596.3</v>
      </c>
      <c r="F14" s="139">
        <f t="shared" si="3"/>
        <v>757.3</v>
      </c>
      <c r="G14" s="138">
        <f t="shared" si="4"/>
        <v>15502.1</v>
      </c>
    </row>
    <row r="15" ht="14.25" customHeight="1">
      <c r="A15" s="136">
        <v>11.0</v>
      </c>
      <c r="B15" s="137">
        <v>46020.0</v>
      </c>
      <c r="C15" s="145"/>
      <c r="D15" s="138">
        <f t="shared" si="1"/>
        <v>155</v>
      </c>
      <c r="E15" s="138">
        <f t="shared" si="2"/>
        <v>596.3</v>
      </c>
      <c r="F15" s="139">
        <f t="shared" si="3"/>
        <v>751.3</v>
      </c>
      <c r="G15" s="138">
        <f t="shared" si="4"/>
        <v>14905.8</v>
      </c>
    </row>
    <row r="16" ht="14.25" customHeight="1">
      <c r="A16" s="136">
        <v>12.0</v>
      </c>
      <c r="B16" s="137">
        <v>46051.0</v>
      </c>
      <c r="C16" s="145"/>
      <c r="D16" s="138">
        <f t="shared" si="1"/>
        <v>149.1</v>
      </c>
      <c r="E16" s="138">
        <f t="shared" si="2"/>
        <v>596.3</v>
      </c>
      <c r="F16" s="139">
        <f t="shared" si="3"/>
        <v>745.4</v>
      </c>
      <c r="G16" s="138">
        <f t="shared" si="4"/>
        <v>14309.5</v>
      </c>
      <c r="I16" s="152" t="s">
        <v>328</v>
      </c>
      <c r="J16" s="153">
        <f>SUM(D5:D17)</f>
        <v>2325.4</v>
      </c>
    </row>
    <row r="17" ht="14.25" customHeight="1">
      <c r="A17" s="154">
        <v>13.0</v>
      </c>
      <c r="B17" s="155">
        <v>46081.0</v>
      </c>
      <c r="C17" s="156"/>
      <c r="D17" s="157">
        <f t="shared" si="1"/>
        <v>143.1</v>
      </c>
      <c r="E17" s="157">
        <f t="shared" si="2"/>
        <v>596.3</v>
      </c>
      <c r="F17" s="157">
        <f t="shared" si="3"/>
        <v>739.4</v>
      </c>
      <c r="G17" s="157">
        <f t="shared" si="4"/>
        <v>13713.2</v>
      </c>
      <c r="I17" s="152" t="s">
        <v>209</v>
      </c>
      <c r="J17" s="153">
        <f>G17</f>
        <v>13713.2</v>
      </c>
    </row>
    <row r="18" ht="14.25" hidden="1" customHeight="1">
      <c r="A18" s="131">
        <v>14.0</v>
      </c>
      <c r="B18" s="132">
        <v>46110.0</v>
      </c>
      <c r="C18" s="146"/>
      <c r="D18" s="135">
        <f t="shared" si="1"/>
        <v>137.1</v>
      </c>
      <c r="E18" s="135">
        <f t="shared" si="2"/>
        <v>596.3</v>
      </c>
      <c r="F18" s="133">
        <f t="shared" si="3"/>
        <v>733.4</v>
      </c>
      <c r="G18" s="135">
        <f t="shared" si="4"/>
        <v>13116.9</v>
      </c>
    </row>
    <row r="19" ht="14.25" hidden="1" customHeight="1">
      <c r="A19" s="131">
        <v>15.0</v>
      </c>
      <c r="B19" s="132">
        <v>46141.0</v>
      </c>
      <c r="C19" s="146"/>
      <c r="D19" s="135">
        <f t="shared" si="1"/>
        <v>131.2</v>
      </c>
      <c r="E19" s="135">
        <f t="shared" si="2"/>
        <v>596.3</v>
      </c>
      <c r="F19" s="133">
        <f t="shared" si="3"/>
        <v>727.5</v>
      </c>
      <c r="G19" s="135">
        <f t="shared" si="4"/>
        <v>12520.6</v>
      </c>
    </row>
    <row r="20" ht="14.25" hidden="1" customHeight="1">
      <c r="A20" s="131">
        <v>16.0</v>
      </c>
      <c r="B20" s="132">
        <v>46171.0</v>
      </c>
      <c r="C20" s="146"/>
      <c r="D20" s="135">
        <f t="shared" si="1"/>
        <v>125.2</v>
      </c>
      <c r="E20" s="135">
        <f t="shared" si="2"/>
        <v>596.3</v>
      </c>
      <c r="F20" s="133">
        <f t="shared" si="3"/>
        <v>721.5</v>
      </c>
      <c r="G20" s="135">
        <f t="shared" si="4"/>
        <v>11924.3</v>
      </c>
    </row>
    <row r="21" ht="14.25" hidden="1" customHeight="1">
      <c r="A21" s="131">
        <v>17.0</v>
      </c>
      <c r="B21" s="132">
        <v>46202.0</v>
      </c>
      <c r="C21" s="146"/>
      <c r="D21" s="135">
        <f t="shared" si="1"/>
        <v>119.2</v>
      </c>
      <c r="E21" s="135">
        <f t="shared" si="2"/>
        <v>596.3</v>
      </c>
      <c r="F21" s="133">
        <f t="shared" si="3"/>
        <v>715.5</v>
      </c>
      <c r="G21" s="135">
        <f t="shared" si="4"/>
        <v>11328</v>
      </c>
    </row>
    <row r="22" ht="14.25" hidden="1" customHeight="1">
      <c r="A22" s="131">
        <v>18.0</v>
      </c>
      <c r="B22" s="132">
        <v>46232.0</v>
      </c>
      <c r="C22" s="146"/>
      <c r="D22" s="135">
        <f t="shared" si="1"/>
        <v>113.3</v>
      </c>
      <c r="E22" s="135">
        <f t="shared" si="2"/>
        <v>596.3</v>
      </c>
      <c r="F22" s="133">
        <f t="shared" si="3"/>
        <v>709.6</v>
      </c>
      <c r="G22" s="135">
        <f t="shared" si="4"/>
        <v>10731.7</v>
      </c>
    </row>
    <row r="23" ht="14.25" hidden="1" customHeight="1">
      <c r="A23" s="131">
        <v>19.0</v>
      </c>
      <c r="B23" s="132">
        <v>46263.0</v>
      </c>
      <c r="C23" s="146"/>
      <c r="D23" s="135">
        <f t="shared" si="1"/>
        <v>107.3</v>
      </c>
      <c r="E23" s="135">
        <f t="shared" si="2"/>
        <v>596.3</v>
      </c>
      <c r="F23" s="133">
        <f t="shared" si="3"/>
        <v>703.6</v>
      </c>
      <c r="G23" s="135">
        <f t="shared" si="4"/>
        <v>10135.4</v>
      </c>
    </row>
    <row r="24" ht="14.25" hidden="1" customHeight="1">
      <c r="A24" s="131">
        <v>20.0</v>
      </c>
      <c r="B24" s="132">
        <v>46294.0</v>
      </c>
      <c r="C24" s="146"/>
      <c r="D24" s="135">
        <f t="shared" si="1"/>
        <v>101.4</v>
      </c>
      <c r="E24" s="135">
        <f t="shared" si="2"/>
        <v>596.3</v>
      </c>
      <c r="F24" s="133">
        <f t="shared" si="3"/>
        <v>697.7</v>
      </c>
      <c r="G24" s="135">
        <f t="shared" si="4"/>
        <v>9539.1</v>
      </c>
    </row>
    <row r="25" ht="14.25" hidden="1" customHeight="1">
      <c r="A25" s="131">
        <v>21.0</v>
      </c>
      <c r="B25" s="132">
        <v>46324.0</v>
      </c>
      <c r="C25" s="146"/>
      <c r="D25" s="135">
        <f t="shared" si="1"/>
        <v>95.4</v>
      </c>
      <c r="E25" s="135">
        <f t="shared" si="2"/>
        <v>596.3</v>
      </c>
      <c r="F25" s="133">
        <f t="shared" si="3"/>
        <v>691.7</v>
      </c>
      <c r="G25" s="135">
        <f t="shared" si="4"/>
        <v>8942.8</v>
      </c>
    </row>
    <row r="26" ht="14.25" hidden="1" customHeight="1">
      <c r="A26" s="131">
        <v>22.0</v>
      </c>
      <c r="B26" s="132">
        <v>46355.0</v>
      </c>
      <c r="C26" s="146"/>
      <c r="D26" s="135">
        <f t="shared" si="1"/>
        <v>89.4</v>
      </c>
      <c r="E26" s="135">
        <f t="shared" si="2"/>
        <v>596.3</v>
      </c>
      <c r="F26" s="133">
        <f t="shared" si="3"/>
        <v>685.7</v>
      </c>
      <c r="G26" s="135">
        <f t="shared" si="4"/>
        <v>8346.5</v>
      </c>
    </row>
    <row r="27" ht="14.25" hidden="1" customHeight="1">
      <c r="A27" s="131">
        <v>23.0</v>
      </c>
      <c r="B27" s="132">
        <v>46385.0</v>
      </c>
      <c r="C27" s="146"/>
      <c r="D27" s="135">
        <f t="shared" si="1"/>
        <v>83.5</v>
      </c>
      <c r="E27" s="135">
        <f t="shared" si="2"/>
        <v>596.3</v>
      </c>
      <c r="F27" s="133">
        <f t="shared" si="3"/>
        <v>679.8</v>
      </c>
      <c r="G27" s="135">
        <f t="shared" si="4"/>
        <v>7750.2</v>
      </c>
    </row>
    <row r="28" ht="14.25" hidden="1" customHeight="1">
      <c r="A28" s="131">
        <v>24.0</v>
      </c>
      <c r="B28" s="132">
        <v>46416.0</v>
      </c>
      <c r="C28" s="146"/>
      <c r="D28" s="135">
        <f t="shared" si="1"/>
        <v>77.5</v>
      </c>
      <c r="E28" s="135">
        <f t="shared" si="2"/>
        <v>596.3</v>
      </c>
      <c r="F28" s="133">
        <f t="shared" si="3"/>
        <v>673.8</v>
      </c>
      <c r="G28" s="135">
        <f t="shared" si="4"/>
        <v>7153.9</v>
      </c>
    </row>
    <row r="29" ht="14.25" hidden="1" customHeight="1">
      <c r="A29" s="131">
        <v>25.0</v>
      </c>
      <c r="B29" s="132">
        <v>46446.0</v>
      </c>
      <c r="C29" s="146"/>
      <c r="D29" s="135">
        <f t="shared" si="1"/>
        <v>71.5</v>
      </c>
      <c r="E29" s="135">
        <f t="shared" si="2"/>
        <v>596.3</v>
      </c>
      <c r="F29" s="133">
        <f t="shared" si="3"/>
        <v>667.8</v>
      </c>
      <c r="G29" s="135">
        <f t="shared" si="4"/>
        <v>6557.6</v>
      </c>
    </row>
    <row r="30" ht="14.25" hidden="1" customHeight="1">
      <c r="A30" s="131">
        <v>26.0</v>
      </c>
      <c r="B30" s="132">
        <v>46475.0</v>
      </c>
      <c r="C30" s="146"/>
      <c r="D30" s="135">
        <f t="shared" si="1"/>
        <v>65.6</v>
      </c>
      <c r="E30" s="135">
        <f t="shared" si="2"/>
        <v>596.3</v>
      </c>
      <c r="F30" s="133">
        <f t="shared" si="3"/>
        <v>661.9</v>
      </c>
      <c r="G30" s="135">
        <f t="shared" si="4"/>
        <v>5961.3</v>
      </c>
    </row>
    <row r="31" ht="14.25" hidden="1" customHeight="1">
      <c r="A31" s="131">
        <v>27.0</v>
      </c>
      <c r="B31" s="132">
        <v>46506.0</v>
      </c>
      <c r="C31" s="146"/>
      <c r="D31" s="135">
        <f t="shared" si="1"/>
        <v>59.6</v>
      </c>
      <c r="E31" s="135">
        <f t="shared" si="2"/>
        <v>596.3</v>
      </c>
      <c r="F31" s="133">
        <f t="shared" si="3"/>
        <v>655.9</v>
      </c>
      <c r="G31" s="135">
        <f t="shared" si="4"/>
        <v>5365</v>
      </c>
    </row>
    <row r="32" ht="14.25" hidden="1" customHeight="1">
      <c r="A32" s="131">
        <v>28.0</v>
      </c>
      <c r="B32" s="132">
        <v>46536.0</v>
      </c>
      <c r="C32" s="146"/>
      <c r="D32" s="135">
        <f t="shared" si="1"/>
        <v>53.7</v>
      </c>
      <c r="E32" s="135">
        <f t="shared" si="2"/>
        <v>596.3</v>
      </c>
      <c r="F32" s="133">
        <f t="shared" si="3"/>
        <v>650</v>
      </c>
      <c r="G32" s="135">
        <f t="shared" si="4"/>
        <v>4768.7</v>
      </c>
    </row>
    <row r="33" ht="14.25" hidden="1" customHeight="1">
      <c r="A33" s="131">
        <v>29.0</v>
      </c>
      <c r="B33" s="132">
        <v>46567.0</v>
      </c>
      <c r="C33" s="146"/>
      <c r="D33" s="135">
        <f t="shared" si="1"/>
        <v>47.7</v>
      </c>
      <c r="E33" s="135">
        <f t="shared" si="2"/>
        <v>596.3</v>
      </c>
      <c r="F33" s="133">
        <f t="shared" si="3"/>
        <v>644</v>
      </c>
      <c r="G33" s="135">
        <f t="shared" si="4"/>
        <v>4172.4</v>
      </c>
    </row>
    <row r="34" ht="14.25" hidden="1" customHeight="1">
      <c r="A34" s="131">
        <v>30.0</v>
      </c>
      <c r="B34" s="132">
        <v>46597.0</v>
      </c>
      <c r="C34" s="146"/>
      <c r="D34" s="135">
        <f t="shared" si="1"/>
        <v>41.7</v>
      </c>
      <c r="E34" s="135">
        <f t="shared" si="2"/>
        <v>596.3</v>
      </c>
      <c r="F34" s="133">
        <f t="shared" si="3"/>
        <v>638</v>
      </c>
      <c r="G34" s="135">
        <f t="shared" si="4"/>
        <v>3576.1</v>
      </c>
    </row>
    <row r="35" ht="14.25" hidden="1" customHeight="1">
      <c r="A35" s="131">
        <v>31.0</v>
      </c>
      <c r="B35" s="132">
        <v>46628.0</v>
      </c>
      <c r="C35" s="146"/>
      <c r="D35" s="135">
        <f t="shared" si="1"/>
        <v>35.8</v>
      </c>
      <c r="E35" s="135">
        <f t="shared" si="2"/>
        <v>596.3</v>
      </c>
      <c r="F35" s="133">
        <f t="shared" si="3"/>
        <v>632.1</v>
      </c>
      <c r="G35" s="135">
        <f t="shared" si="4"/>
        <v>2979.8</v>
      </c>
    </row>
    <row r="36" ht="14.25" hidden="1" customHeight="1">
      <c r="A36" s="131">
        <v>32.0</v>
      </c>
      <c r="B36" s="132">
        <v>46659.0</v>
      </c>
      <c r="C36" s="146"/>
      <c r="D36" s="135">
        <f t="shared" si="1"/>
        <v>29.8</v>
      </c>
      <c r="E36" s="135">
        <f t="shared" si="2"/>
        <v>596.3</v>
      </c>
      <c r="F36" s="133">
        <f t="shared" si="3"/>
        <v>626.1</v>
      </c>
      <c r="G36" s="135">
        <f t="shared" si="4"/>
        <v>2383.5</v>
      </c>
    </row>
    <row r="37" ht="14.25" hidden="1" customHeight="1">
      <c r="A37" s="131">
        <v>33.0</v>
      </c>
      <c r="B37" s="132">
        <v>46689.0</v>
      </c>
      <c r="C37" s="146"/>
      <c r="D37" s="135">
        <f t="shared" si="1"/>
        <v>23.8</v>
      </c>
      <c r="E37" s="135">
        <f t="shared" si="2"/>
        <v>596.3</v>
      </c>
      <c r="F37" s="133">
        <f t="shared" si="3"/>
        <v>620.1</v>
      </c>
      <c r="G37" s="135">
        <f t="shared" si="4"/>
        <v>1787.2</v>
      </c>
    </row>
    <row r="38" ht="14.25" hidden="1" customHeight="1">
      <c r="A38" s="131">
        <v>34.0</v>
      </c>
      <c r="B38" s="132">
        <v>46720.0</v>
      </c>
      <c r="C38" s="146"/>
      <c r="D38" s="135">
        <f t="shared" si="1"/>
        <v>17.9</v>
      </c>
      <c r="E38" s="135">
        <f t="shared" si="2"/>
        <v>596.3</v>
      </c>
      <c r="F38" s="133">
        <f t="shared" si="3"/>
        <v>614.2</v>
      </c>
      <c r="G38" s="135">
        <f t="shared" si="4"/>
        <v>1190.9</v>
      </c>
    </row>
    <row r="39" ht="14.25" hidden="1" customHeight="1">
      <c r="A39" s="131">
        <v>35.0</v>
      </c>
      <c r="B39" s="132">
        <v>46750.0</v>
      </c>
      <c r="C39" s="146"/>
      <c r="D39" s="135">
        <f t="shared" si="1"/>
        <v>11.9</v>
      </c>
      <c r="E39" s="135">
        <f t="shared" si="2"/>
        <v>596.3</v>
      </c>
      <c r="F39" s="133">
        <f t="shared" si="3"/>
        <v>608.2</v>
      </c>
      <c r="G39" s="135">
        <f t="shared" si="4"/>
        <v>594.6</v>
      </c>
    </row>
    <row r="40" ht="14.25" hidden="1" customHeight="1">
      <c r="A40" s="131">
        <v>36.0</v>
      </c>
      <c r="B40" s="132">
        <v>46781.0</v>
      </c>
      <c r="C40" s="146"/>
      <c r="D40" s="135">
        <f t="shared" si="1"/>
        <v>5.9</v>
      </c>
      <c r="E40" s="135">
        <f>ROUNDUP($C$4/36,1)-1.7</f>
        <v>594.6</v>
      </c>
      <c r="F40" s="133">
        <f t="shared" si="3"/>
        <v>600.5</v>
      </c>
      <c r="G40" s="135">
        <f t="shared" si="4"/>
        <v>0</v>
      </c>
    </row>
    <row r="41" ht="14.25" hidden="1" customHeight="1">
      <c r="A41" s="129" t="s">
        <v>252</v>
      </c>
      <c r="B41" s="2"/>
      <c r="C41" s="3"/>
      <c r="D41" s="147">
        <f t="shared" ref="D41:F41" si="5">+SUM(D5:D40)</f>
        <v>3970.8</v>
      </c>
      <c r="E41" s="147">
        <f t="shared" si="5"/>
        <v>21465.1</v>
      </c>
      <c r="F41" s="147">
        <f t="shared" si="5"/>
        <v>25435.9</v>
      </c>
      <c r="G41" s="148"/>
    </row>
    <row r="42" ht="14.25" customHeight="1"/>
    <row r="43" ht="14.25" customHeight="1">
      <c r="A43" s="128" t="s">
        <v>381</v>
      </c>
      <c r="B43" s="2"/>
      <c r="C43" s="2"/>
      <c r="D43" s="2"/>
      <c r="E43" s="2"/>
      <c r="F43" s="2"/>
      <c r="G43" s="3"/>
    </row>
    <row r="44" ht="14.25" customHeight="1">
      <c r="A44" s="129" t="s">
        <v>382</v>
      </c>
      <c r="B44" s="2"/>
      <c r="C44" s="2"/>
      <c r="D44" s="2"/>
      <c r="E44" s="2"/>
      <c r="F44" s="2"/>
      <c r="G44" s="3"/>
    </row>
    <row r="45" ht="14.25" customHeight="1">
      <c r="A45" s="130" t="s">
        <v>326</v>
      </c>
      <c r="B45" s="130" t="s">
        <v>256</v>
      </c>
      <c r="C45" s="130" t="s">
        <v>327</v>
      </c>
      <c r="D45" s="130" t="s">
        <v>328</v>
      </c>
      <c r="E45" s="130" t="s">
        <v>329</v>
      </c>
      <c r="F45" s="130" t="s">
        <v>330</v>
      </c>
      <c r="G45" s="130" t="s">
        <v>209</v>
      </c>
    </row>
    <row r="46" ht="14.25" customHeight="1">
      <c r="A46" s="131">
        <v>0.0</v>
      </c>
      <c r="B46" s="132">
        <v>46081.0</v>
      </c>
      <c r="C46" s="133">
        <f>+J49</f>
        <v>24415.6</v>
      </c>
      <c r="D46" s="134">
        <v>0.01</v>
      </c>
      <c r="E46" s="135"/>
      <c r="F46" s="135"/>
      <c r="G46" s="135">
        <f>+C46</f>
        <v>24415.6</v>
      </c>
    </row>
    <row r="47" ht="14.25" customHeight="1">
      <c r="A47" s="131">
        <v>1.0</v>
      </c>
      <c r="B47" s="132">
        <v>46110.0</v>
      </c>
      <c r="C47" s="146"/>
      <c r="D47" s="135">
        <f t="shared" ref="D47:D82" si="6">+ROUND(G46*0.01,1)</f>
        <v>244.2</v>
      </c>
      <c r="E47" s="135">
        <f t="shared" ref="E47:E81" si="7">ROUND($C$46/36,1)</f>
        <v>678.2</v>
      </c>
      <c r="F47" s="133">
        <f t="shared" ref="F47:F82" si="8">+ROUND(D47+E47,1)</f>
        <v>922.4</v>
      </c>
      <c r="G47" s="135">
        <f t="shared" ref="G47:G82" si="9">+ROUND(G46-E47,1)</f>
        <v>23737.4</v>
      </c>
      <c r="I47" s="140" t="s">
        <v>209</v>
      </c>
      <c r="J47" s="141">
        <f>G17</f>
        <v>13713.2</v>
      </c>
    </row>
    <row r="48" ht="14.25" customHeight="1">
      <c r="A48" s="131">
        <v>2.0</v>
      </c>
      <c r="B48" s="132">
        <v>46141.0</v>
      </c>
      <c r="C48" s="146"/>
      <c r="D48" s="135">
        <f t="shared" si="6"/>
        <v>237.4</v>
      </c>
      <c r="E48" s="135">
        <f t="shared" si="7"/>
        <v>678.2</v>
      </c>
      <c r="F48" s="133">
        <f t="shared" si="8"/>
        <v>915.6</v>
      </c>
      <c r="G48" s="135">
        <f t="shared" si="9"/>
        <v>23059.2</v>
      </c>
      <c r="I48" s="140" t="s">
        <v>331</v>
      </c>
      <c r="J48" s="151">
        <v>10702.4</v>
      </c>
    </row>
    <row r="49" ht="14.25" customHeight="1">
      <c r="A49" s="131">
        <v>3.0</v>
      </c>
      <c r="B49" s="132">
        <v>46171.0</v>
      </c>
      <c r="C49" s="146"/>
      <c r="D49" s="135">
        <f t="shared" si="6"/>
        <v>230.6</v>
      </c>
      <c r="E49" s="135">
        <f t="shared" si="7"/>
        <v>678.2</v>
      </c>
      <c r="F49" s="133">
        <f t="shared" si="8"/>
        <v>908.8</v>
      </c>
      <c r="G49" s="135">
        <f t="shared" si="9"/>
        <v>22381</v>
      </c>
      <c r="I49" s="142" t="s">
        <v>252</v>
      </c>
      <c r="J49" s="143">
        <f>+SUM(J47:J48)</f>
        <v>24415.6</v>
      </c>
    </row>
    <row r="50" ht="14.25" customHeight="1">
      <c r="A50" s="131">
        <v>4.0</v>
      </c>
      <c r="B50" s="132">
        <v>46202.0</v>
      </c>
      <c r="C50" s="146"/>
      <c r="D50" s="135">
        <f t="shared" si="6"/>
        <v>223.8</v>
      </c>
      <c r="E50" s="135">
        <f t="shared" si="7"/>
        <v>678.2</v>
      </c>
      <c r="F50" s="133">
        <f t="shared" si="8"/>
        <v>902</v>
      </c>
      <c r="G50" s="135">
        <f t="shared" si="9"/>
        <v>21702.8</v>
      </c>
    </row>
    <row r="51" ht="14.25" customHeight="1">
      <c r="A51" s="131">
        <v>5.0</v>
      </c>
      <c r="B51" s="132">
        <v>46232.0</v>
      </c>
      <c r="C51" s="146"/>
      <c r="D51" s="135">
        <f t="shared" si="6"/>
        <v>217</v>
      </c>
      <c r="E51" s="135">
        <f t="shared" si="7"/>
        <v>678.2</v>
      </c>
      <c r="F51" s="133">
        <f t="shared" si="8"/>
        <v>895.2</v>
      </c>
      <c r="G51" s="135">
        <f t="shared" si="9"/>
        <v>21024.6</v>
      </c>
    </row>
    <row r="52" ht="14.25" customHeight="1">
      <c r="A52" s="131">
        <v>6.0</v>
      </c>
      <c r="B52" s="132">
        <v>46263.0</v>
      </c>
      <c r="C52" s="146"/>
      <c r="D52" s="135">
        <f t="shared" si="6"/>
        <v>210.2</v>
      </c>
      <c r="E52" s="135">
        <f t="shared" si="7"/>
        <v>678.2</v>
      </c>
      <c r="F52" s="133">
        <f t="shared" si="8"/>
        <v>888.4</v>
      </c>
      <c r="G52" s="135">
        <f t="shared" si="9"/>
        <v>20346.4</v>
      </c>
    </row>
    <row r="53" ht="14.25" customHeight="1">
      <c r="A53" s="131">
        <v>7.0</v>
      </c>
      <c r="B53" s="132">
        <v>46294.0</v>
      </c>
      <c r="C53" s="146"/>
      <c r="D53" s="135">
        <f t="shared" si="6"/>
        <v>203.5</v>
      </c>
      <c r="E53" s="135">
        <f t="shared" si="7"/>
        <v>678.2</v>
      </c>
      <c r="F53" s="133">
        <f t="shared" si="8"/>
        <v>881.7</v>
      </c>
      <c r="G53" s="135">
        <f t="shared" si="9"/>
        <v>19668.2</v>
      </c>
    </row>
    <row r="54" ht="14.25" customHeight="1">
      <c r="A54" s="131">
        <v>8.0</v>
      </c>
      <c r="B54" s="132">
        <v>46324.0</v>
      </c>
      <c r="C54" s="146"/>
      <c r="D54" s="135">
        <f t="shared" si="6"/>
        <v>196.7</v>
      </c>
      <c r="E54" s="135">
        <f t="shared" si="7"/>
        <v>678.2</v>
      </c>
      <c r="F54" s="133">
        <f t="shared" si="8"/>
        <v>874.9</v>
      </c>
      <c r="G54" s="135">
        <f t="shared" si="9"/>
        <v>18990</v>
      </c>
    </row>
    <row r="55" ht="14.25" customHeight="1">
      <c r="A55" s="131">
        <v>9.0</v>
      </c>
      <c r="B55" s="132">
        <v>46355.0</v>
      </c>
      <c r="C55" s="146"/>
      <c r="D55" s="135">
        <f t="shared" si="6"/>
        <v>189.9</v>
      </c>
      <c r="E55" s="135">
        <f t="shared" si="7"/>
        <v>678.2</v>
      </c>
      <c r="F55" s="133">
        <f t="shared" si="8"/>
        <v>868.1</v>
      </c>
      <c r="G55" s="135">
        <f t="shared" si="9"/>
        <v>18311.8</v>
      </c>
    </row>
    <row r="56" ht="14.25" customHeight="1">
      <c r="A56" s="131">
        <v>10.0</v>
      </c>
      <c r="B56" s="132">
        <v>46385.0</v>
      </c>
      <c r="C56" s="146"/>
      <c r="D56" s="135">
        <f t="shared" si="6"/>
        <v>183.1</v>
      </c>
      <c r="E56" s="135">
        <f t="shared" si="7"/>
        <v>678.2</v>
      </c>
      <c r="F56" s="133">
        <f t="shared" si="8"/>
        <v>861.3</v>
      </c>
      <c r="G56" s="135">
        <f t="shared" si="9"/>
        <v>17633.6</v>
      </c>
    </row>
    <row r="57" ht="14.25" customHeight="1">
      <c r="A57" s="131">
        <v>11.0</v>
      </c>
      <c r="B57" s="132">
        <v>46416.0</v>
      </c>
      <c r="C57" s="146"/>
      <c r="D57" s="135">
        <f t="shared" si="6"/>
        <v>176.3</v>
      </c>
      <c r="E57" s="135">
        <f t="shared" si="7"/>
        <v>678.2</v>
      </c>
      <c r="F57" s="133">
        <f t="shared" si="8"/>
        <v>854.5</v>
      </c>
      <c r="G57" s="135">
        <f t="shared" si="9"/>
        <v>16955.4</v>
      </c>
    </row>
    <row r="58" ht="14.25" customHeight="1">
      <c r="A58" s="131">
        <v>12.0</v>
      </c>
      <c r="B58" s="132">
        <v>46446.0</v>
      </c>
      <c r="C58" s="146"/>
      <c r="D58" s="135">
        <f t="shared" si="6"/>
        <v>169.6</v>
      </c>
      <c r="E58" s="135">
        <f t="shared" si="7"/>
        <v>678.2</v>
      </c>
      <c r="F58" s="133">
        <f t="shared" si="8"/>
        <v>847.8</v>
      </c>
      <c r="G58" s="135">
        <f t="shared" si="9"/>
        <v>16277.2</v>
      </c>
    </row>
    <row r="59" ht="14.25" customHeight="1">
      <c r="A59" s="131">
        <v>13.0</v>
      </c>
      <c r="B59" s="132">
        <v>46475.0</v>
      </c>
      <c r="C59" s="146"/>
      <c r="D59" s="135">
        <f t="shared" si="6"/>
        <v>162.8</v>
      </c>
      <c r="E59" s="135">
        <f t="shared" si="7"/>
        <v>678.2</v>
      </c>
      <c r="F59" s="133">
        <f t="shared" si="8"/>
        <v>841</v>
      </c>
      <c r="G59" s="135">
        <f t="shared" si="9"/>
        <v>15599</v>
      </c>
    </row>
    <row r="60" ht="14.25" customHeight="1">
      <c r="A60" s="131">
        <v>14.0</v>
      </c>
      <c r="B60" s="132">
        <v>46506.0</v>
      </c>
      <c r="C60" s="146"/>
      <c r="D60" s="135">
        <f t="shared" si="6"/>
        <v>156</v>
      </c>
      <c r="E60" s="135">
        <f t="shared" si="7"/>
        <v>678.2</v>
      </c>
      <c r="F60" s="133">
        <f t="shared" si="8"/>
        <v>834.2</v>
      </c>
      <c r="G60" s="135">
        <f t="shared" si="9"/>
        <v>14920.8</v>
      </c>
    </row>
    <row r="61" ht="14.25" customHeight="1">
      <c r="A61" s="131">
        <v>15.0</v>
      </c>
      <c r="B61" s="132">
        <v>46536.0</v>
      </c>
      <c r="C61" s="146"/>
      <c r="D61" s="135">
        <f t="shared" si="6"/>
        <v>149.2</v>
      </c>
      <c r="E61" s="135">
        <f t="shared" si="7"/>
        <v>678.2</v>
      </c>
      <c r="F61" s="133">
        <f t="shared" si="8"/>
        <v>827.4</v>
      </c>
      <c r="G61" s="135">
        <f t="shared" si="9"/>
        <v>14242.6</v>
      </c>
    </row>
    <row r="62" ht="14.25" customHeight="1">
      <c r="A62" s="131">
        <v>16.0</v>
      </c>
      <c r="B62" s="132">
        <v>46567.0</v>
      </c>
      <c r="C62" s="146"/>
      <c r="D62" s="135">
        <f t="shared" si="6"/>
        <v>142.4</v>
      </c>
      <c r="E62" s="135">
        <f t="shared" si="7"/>
        <v>678.2</v>
      </c>
      <c r="F62" s="133">
        <f t="shared" si="8"/>
        <v>820.6</v>
      </c>
      <c r="G62" s="135">
        <f t="shared" si="9"/>
        <v>13564.4</v>
      </c>
    </row>
    <row r="63" ht="14.25" customHeight="1">
      <c r="A63" s="131">
        <v>17.0</v>
      </c>
      <c r="B63" s="132">
        <v>46597.0</v>
      </c>
      <c r="C63" s="146"/>
      <c r="D63" s="135">
        <f t="shared" si="6"/>
        <v>135.6</v>
      </c>
      <c r="E63" s="135">
        <f t="shared" si="7"/>
        <v>678.2</v>
      </c>
      <c r="F63" s="133">
        <f t="shared" si="8"/>
        <v>813.8</v>
      </c>
      <c r="G63" s="135">
        <f t="shared" si="9"/>
        <v>12886.2</v>
      </c>
    </row>
    <row r="64" ht="14.25" customHeight="1">
      <c r="A64" s="131">
        <v>18.0</v>
      </c>
      <c r="B64" s="132">
        <v>46628.0</v>
      </c>
      <c r="C64" s="146"/>
      <c r="D64" s="135">
        <f t="shared" si="6"/>
        <v>128.9</v>
      </c>
      <c r="E64" s="135">
        <f t="shared" si="7"/>
        <v>678.2</v>
      </c>
      <c r="F64" s="133">
        <f t="shared" si="8"/>
        <v>807.1</v>
      </c>
      <c r="G64" s="135">
        <f t="shared" si="9"/>
        <v>12208</v>
      </c>
    </row>
    <row r="65" ht="14.25" customHeight="1">
      <c r="A65" s="131">
        <v>19.0</v>
      </c>
      <c r="B65" s="132">
        <v>46659.0</v>
      </c>
      <c r="C65" s="146"/>
      <c r="D65" s="135">
        <f t="shared" si="6"/>
        <v>122.1</v>
      </c>
      <c r="E65" s="135">
        <f t="shared" si="7"/>
        <v>678.2</v>
      </c>
      <c r="F65" s="133">
        <f t="shared" si="8"/>
        <v>800.3</v>
      </c>
      <c r="G65" s="135">
        <f t="shared" si="9"/>
        <v>11529.8</v>
      </c>
    </row>
    <row r="66" ht="14.25" customHeight="1">
      <c r="A66" s="131">
        <v>20.0</v>
      </c>
      <c r="B66" s="132">
        <v>46689.0</v>
      </c>
      <c r="C66" s="146"/>
      <c r="D66" s="135">
        <f t="shared" si="6"/>
        <v>115.3</v>
      </c>
      <c r="E66" s="135">
        <f t="shared" si="7"/>
        <v>678.2</v>
      </c>
      <c r="F66" s="133">
        <f t="shared" si="8"/>
        <v>793.5</v>
      </c>
      <c r="G66" s="135">
        <f t="shared" si="9"/>
        <v>10851.6</v>
      </c>
    </row>
    <row r="67" ht="14.25" customHeight="1">
      <c r="A67" s="131">
        <v>21.0</v>
      </c>
      <c r="B67" s="132">
        <v>46720.0</v>
      </c>
      <c r="C67" s="146"/>
      <c r="D67" s="135">
        <f t="shared" si="6"/>
        <v>108.5</v>
      </c>
      <c r="E67" s="135">
        <f t="shared" si="7"/>
        <v>678.2</v>
      </c>
      <c r="F67" s="133">
        <f t="shared" si="8"/>
        <v>786.7</v>
      </c>
      <c r="G67" s="135">
        <f t="shared" si="9"/>
        <v>10173.4</v>
      </c>
    </row>
    <row r="68" ht="14.25" customHeight="1">
      <c r="A68" s="131">
        <v>22.0</v>
      </c>
      <c r="B68" s="132">
        <v>46750.0</v>
      </c>
      <c r="C68" s="146"/>
      <c r="D68" s="135">
        <f t="shared" si="6"/>
        <v>101.7</v>
      </c>
      <c r="E68" s="135">
        <f t="shared" si="7"/>
        <v>678.2</v>
      </c>
      <c r="F68" s="133">
        <f t="shared" si="8"/>
        <v>779.9</v>
      </c>
      <c r="G68" s="135">
        <f t="shared" si="9"/>
        <v>9495.2</v>
      </c>
    </row>
    <row r="69" ht="14.25" customHeight="1">
      <c r="A69" s="131">
        <v>23.0</v>
      </c>
      <c r="B69" s="132">
        <v>46781.0</v>
      </c>
      <c r="C69" s="146"/>
      <c r="D69" s="135">
        <f t="shared" si="6"/>
        <v>95</v>
      </c>
      <c r="E69" s="135">
        <f t="shared" si="7"/>
        <v>678.2</v>
      </c>
      <c r="F69" s="133">
        <f t="shared" si="8"/>
        <v>773.2</v>
      </c>
      <c r="G69" s="135">
        <f t="shared" si="9"/>
        <v>8817</v>
      </c>
    </row>
    <row r="70" ht="14.25" customHeight="1">
      <c r="A70" s="131">
        <v>24.0</v>
      </c>
      <c r="B70" s="132">
        <v>46812.0</v>
      </c>
      <c r="C70" s="146"/>
      <c r="D70" s="135">
        <f t="shared" si="6"/>
        <v>88.2</v>
      </c>
      <c r="E70" s="135">
        <f t="shared" si="7"/>
        <v>678.2</v>
      </c>
      <c r="F70" s="133">
        <f t="shared" si="8"/>
        <v>766.4</v>
      </c>
      <c r="G70" s="135">
        <f t="shared" si="9"/>
        <v>8138.8</v>
      </c>
    </row>
    <row r="71" ht="14.25" customHeight="1">
      <c r="A71" s="131">
        <v>25.0</v>
      </c>
      <c r="B71" s="132">
        <v>46841.0</v>
      </c>
      <c r="C71" s="146"/>
      <c r="D71" s="135">
        <f t="shared" si="6"/>
        <v>81.4</v>
      </c>
      <c r="E71" s="135">
        <f t="shared" si="7"/>
        <v>678.2</v>
      </c>
      <c r="F71" s="133">
        <f t="shared" si="8"/>
        <v>759.6</v>
      </c>
      <c r="G71" s="135">
        <f t="shared" si="9"/>
        <v>7460.6</v>
      </c>
    </row>
    <row r="72" ht="14.25" customHeight="1">
      <c r="A72" s="131">
        <v>26.0</v>
      </c>
      <c r="B72" s="132">
        <v>46872.0</v>
      </c>
      <c r="C72" s="146"/>
      <c r="D72" s="135">
        <f t="shared" si="6"/>
        <v>74.6</v>
      </c>
      <c r="E72" s="135">
        <f t="shared" si="7"/>
        <v>678.2</v>
      </c>
      <c r="F72" s="133">
        <f t="shared" si="8"/>
        <v>752.8</v>
      </c>
      <c r="G72" s="135">
        <f t="shared" si="9"/>
        <v>6782.4</v>
      </c>
    </row>
    <row r="73" ht="14.25" customHeight="1">
      <c r="A73" s="131">
        <v>27.0</v>
      </c>
      <c r="B73" s="132">
        <v>46902.0</v>
      </c>
      <c r="C73" s="146"/>
      <c r="D73" s="135">
        <f t="shared" si="6"/>
        <v>67.8</v>
      </c>
      <c r="E73" s="135">
        <f t="shared" si="7"/>
        <v>678.2</v>
      </c>
      <c r="F73" s="133">
        <f t="shared" si="8"/>
        <v>746</v>
      </c>
      <c r="G73" s="135">
        <f t="shared" si="9"/>
        <v>6104.2</v>
      </c>
    </row>
    <row r="74" ht="14.25" customHeight="1">
      <c r="A74" s="131">
        <v>28.0</v>
      </c>
      <c r="B74" s="132">
        <v>46933.0</v>
      </c>
      <c r="C74" s="146"/>
      <c r="D74" s="135">
        <f t="shared" si="6"/>
        <v>61</v>
      </c>
      <c r="E74" s="135">
        <f t="shared" si="7"/>
        <v>678.2</v>
      </c>
      <c r="F74" s="133">
        <f t="shared" si="8"/>
        <v>739.2</v>
      </c>
      <c r="G74" s="135">
        <f t="shared" si="9"/>
        <v>5426</v>
      </c>
    </row>
    <row r="75" ht="14.25" customHeight="1">
      <c r="A75" s="131">
        <v>29.0</v>
      </c>
      <c r="B75" s="132">
        <v>46963.0</v>
      </c>
      <c r="C75" s="146"/>
      <c r="D75" s="135">
        <f t="shared" si="6"/>
        <v>54.3</v>
      </c>
      <c r="E75" s="135">
        <f t="shared" si="7"/>
        <v>678.2</v>
      </c>
      <c r="F75" s="133">
        <f t="shared" si="8"/>
        <v>732.5</v>
      </c>
      <c r="G75" s="135">
        <f t="shared" si="9"/>
        <v>4747.8</v>
      </c>
    </row>
    <row r="76" ht="14.25" customHeight="1">
      <c r="A76" s="131">
        <v>30.0</v>
      </c>
      <c r="B76" s="132">
        <v>46994.0</v>
      </c>
      <c r="C76" s="146"/>
      <c r="D76" s="135">
        <f t="shared" si="6"/>
        <v>47.5</v>
      </c>
      <c r="E76" s="135">
        <f t="shared" si="7"/>
        <v>678.2</v>
      </c>
      <c r="F76" s="133">
        <f t="shared" si="8"/>
        <v>725.7</v>
      </c>
      <c r="G76" s="135">
        <f t="shared" si="9"/>
        <v>4069.6</v>
      </c>
    </row>
    <row r="77" ht="14.25" customHeight="1">
      <c r="A77" s="131">
        <v>31.0</v>
      </c>
      <c r="B77" s="132">
        <v>47025.0</v>
      </c>
      <c r="C77" s="146"/>
      <c r="D77" s="135">
        <f t="shared" si="6"/>
        <v>40.7</v>
      </c>
      <c r="E77" s="135">
        <f t="shared" si="7"/>
        <v>678.2</v>
      </c>
      <c r="F77" s="133">
        <f t="shared" si="8"/>
        <v>718.9</v>
      </c>
      <c r="G77" s="135">
        <f t="shared" si="9"/>
        <v>3391.4</v>
      </c>
    </row>
    <row r="78" ht="14.25" customHeight="1">
      <c r="A78" s="131">
        <v>32.0</v>
      </c>
      <c r="B78" s="132">
        <v>47055.0</v>
      </c>
      <c r="C78" s="146"/>
      <c r="D78" s="135">
        <f t="shared" si="6"/>
        <v>33.9</v>
      </c>
      <c r="E78" s="135">
        <f t="shared" si="7"/>
        <v>678.2</v>
      </c>
      <c r="F78" s="133">
        <f t="shared" si="8"/>
        <v>712.1</v>
      </c>
      <c r="G78" s="135">
        <f t="shared" si="9"/>
        <v>2713.2</v>
      </c>
    </row>
    <row r="79" ht="14.25" customHeight="1">
      <c r="A79" s="131">
        <v>33.0</v>
      </c>
      <c r="B79" s="132">
        <v>47086.0</v>
      </c>
      <c r="C79" s="146"/>
      <c r="D79" s="135">
        <f t="shared" si="6"/>
        <v>27.1</v>
      </c>
      <c r="E79" s="135">
        <f t="shared" si="7"/>
        <v>678.2</v>
      </c>
      <c r="F79" s="133">
        <f t="shared" si="8"/>
        <v>705.3</v>
      </c>
      <c r="G79" s="135">
        <f t="shared" si="9"/>
        <v>2035</v>
      </c>
    </row>
    <row r="80" ht="14.25" customHeight="1">
      <c r="A80" s="131">
        <v>34.0</v>
      </c>
      <c r="B80" s="132">
        <v>47116.0</v>
      </c>
      <c r="C80" s="146"/>
      <c r="D80" s="135">
        <f t="shared" si="6"/>
        <v>20.4</v>
      </c>
      <c r="E80" s="135">
        <f t="shared" si="7"/>
        <v>678.2</v>
      </c>
      <c r="F80" s="133">
        <f t="shared" si="8"/>
        <v>698.6</v>
      </c>
      <c r="G80" s="135">
        <f t="shared" si="9"/>
        <v>1356.8</v>
      </c>
    </row>
    <row r="81" ht="14.25" customHeight="1">
      <c r="A81" s="131">
        <v>35.0</v>
      </c>
      <c r="B81" s="132">
        <v>47147.0</v>
      </c>
      <c r="C81" s="146"/>
      <c r="D81" s="135">
        <f t="shared" si="6"/>
        <v>13.6</v>
      </c>
      <c r="E81" s="135">
        <f t="shared" si="7"/>
        <v>678.2</v>
      </c>
      <c r="F81" s="133">
        <f t="shared" si="8"/>
        <v>691.8</v>
      </c>
      <c r="G81" s="135">
        <f t="shared" si="9"/>
        <v>678.6</v>
      </c>
    </row>
    <row r="82" ht="14.25" customHeight="1">
      <c r="A82" s="131">
        <v>36.0</v>
      </c>
      <c r="B82" s="132">
        <v>47177.0</v>
      </c>
      <c r="C82" s="146"/>
      <c r="D82" s="135">
        <f t="shared" si="6"/>
        <v>6.8</v>
      </c>
      <c r="E82" s="135">
        <f>ROUND($C$46/36,1)+0.4</f>
        <v>678.6</v>
      </c>
      <c r="F82" s="133">
        <f t="shared" si="8"/>
        <v>685.4</v>
      </c>
      <c r="G82" s="135">
        <f t="shared" si="9"/>
        <v>0</v>
      </c>
    </row>
    <row r="83" ht="14.25" customHeight="1">
      <c r="A83" s="129" t="s">
        <v>252</v>
      </c>
      <c r="B83" s="2"/>
      <c r="C83" s="3"/>
      <c r="D83" s="147">
        <f t="shared" ref="D83:F83" si="10">+SUM(D47:D82)</f>
        <v>4517.1</v>
      </c>
      <c r="E83" s="147">
        <f t="shared" si="10"/>
        <v>24415.6</v>
      </c>
      <c r="F83" s="147">
        <f t="shared" si="10"/>
        <v>28932.7</v>
      </c>
      <c r="G83" s="148"/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G1"/>
    <mergeCell ref="A2:G2"/>
    <mergeCell ref="A41:C41"/>
    <mergeCell ref="A43:G43"/>
    <mergeCell ref="A44:G44"/>
    <mergeCell ref="A83:C8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2025-10-18T17:38:00Z</dcterms:created>
  <dc:creator>Jorge Arturo Chavez Alvarez</dc:creator>
</cp:coreProperties>
</file>